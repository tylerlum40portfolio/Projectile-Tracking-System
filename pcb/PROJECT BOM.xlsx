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mc:AlternateContent xmlns:mc="http://schemas.openxmlformats.org/markup-compatibility/2006">
    <mc:Choice Requires="x15">
      <x15ac:absPath xmlns:x15ac="http://schemas.microsoft.com/office/spreadsheetml/2010/11/ac" url="https://cpslo-my.sharepoint.com/personal/sbnuno_calpoly_edu/Documents/507 Project/"/>
    </mc:Choice>
  </mc:AlternateContent>
  <xr:revisionPtr revIDLastSave="530" documentId="13_ncr:1_{B75D6EC5-4B8F-4D61-827C-DC313C65FF99}" xr6:coauthVersionLast="47" xr6:coauthVersionMax="47" xr10:uidLastSave="{B21F2E9F-D0FB-45E6-87BD-3D0F0E52C51B}"/>
  <bookViews>
    <workbookView xWindow="-110" yWindow="-110" windowWidth="25820" windowHeight="15500" xr2:uid="{00000000-000D-0000-FFFF-FFFF00000000}"/>
  </bookViews>
  <sheets>
    <sheet name="Combined BOM" sheetId="1" r:id="rId1"/>
  </sheets>
  <definedNames>
    <definedName name="_xlnm.Print_Area" localSheetId="0">CombinedBOM[#All]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8" i="1" l="1"/>
  <c r="I28" i="1"/>
  <c r="H28" i="1"/>
  <c r="G28" i="1"/>
  <c r="F28" i="1"/>
  <c r="E28" i="1"/>
  <c r="D28" i="1"/>
  <c r="C28" i="1"/>
</calcChain>
</file>

<file path=xl/sharedStrings.xml><?xml version="1.0" encoding="utf-8"?>
<sst xmlns="http://schemas.openxmlformats.org/spreadsheetml/2006/main" count="457" uniqueCount="364">
  <si>
    <t>Reference Designators</t>
  </si>
  <si>
    <t>Quantity</t>
  </si>
  <si>
    <t>Part Type</t>
  </si>
  <si>
    <t>Value / Description</t>
  </si>
  <si>
    <t>Package / Footprint</t>
  </si>
  <si>
    <t>MPN / Product</t>
  </si>
  <si>
    <t>Manufacturer</t>
  </si>
  <si>
    <t>Supplier</t>
  </si>
  <si>
    <t>Vendor Part Number</t>
  </si>
  <si>
    <t>Link</t>
  </si>
  <si>
    <t>Notes</t>
  </si>
  <si>
    <t>JCL LINK</t>
  </si>
  <si>
    <t>VERIFIED</t>
  </si>
  <si>
    <t>PLACED</t>
  </si>
  <si>
    <t>Column1</t>
  </si>
  <si>
    <t>3.3V, 5V, 7.5V, PAN_CS, PAN_GND, TILT_GND, PAN_PWM, REG_GND, TILT_CS, TILT_PWM</t>
  </si>
  <si>
    <t>Test Pad</t>
  </si>
  <si>
    <t>Surface-mount PC test point, miniature</t>
  </si>
  <si>
    <t>SMD</t>
  </si>
  <si>
    <t>Keystone Electronics</t>
  </si>
  <si>
    <t>DigiKey</t>
  </si>
  <si>
    <t>36-5019-ND</t>
  </si>
  <si>
    <t>https://www.digikey.com/en/products/detail/keystone-electronics/5019/3907343</t>
  </si>
  <si>
    <t>Rail/signal test pads from Fusion export</t>
  </si>
  <si>
    <t>https://jlcpcb.com/partdetail/Keystone-5019/C238131</t>
  </si>
  <si>
    <t>C1,C2</t>
  </si>
  <si>
    <t>Aluminum Electrolytic Capacitor</t>
  </si>
  <si>
    <t>680 µF, 35 V, ±20%, low-impedance electrolytic capacitor, 2.25 A ripple current @ 100 kHz</t>
  </si>
  <si>
    <t>Radial Can, Through Hole, 10 mm diameter, 5.00 mm lead spacing</t>
  </si>
  <si>
    <t>35ZLH680MEFC10X23</t>
  </si>
  <si>
    <t>Rubycon</t>
  </si>
  <si>
    <t>1189-1749-ND</t>
  </si>
  <si>
    <t>https://www.digikey.sk/en/products/detail/rubycon/35ZLH680MEFC10X23/3563861</t>
  </si>
  <si>
    <t>Polarized: + to VIN or 3.3 V rail, - to GND. Place close to regulator pins.</t>
  </si>
  <si>
    <t>https://jlcpcb.com/partdetail/Rubycon-35ZLH680MEFC10X23/C338198</t>
  </si>
  <si>
    <t>C3, C7, C9</t>
  </si>
  <si>
    <t>Ceramic capacitor</t>
  </si>
  <si>
    <t>100uF, 10V, X5R</t>
  </si>
  <si>
    <t>CAPC3216X190N</t>
  </si>
  <si>
    <t>GRM31CR61A107MEA8L</t>
  </si>
  <si>
    <t>Murata Electronics</t>
  </si>
  <si>
    <t>490-GRM31CR61A107MEA8LCT-ND</t>
  </si>
  <si>
    <t>https://www.digikey.sk/en/products/detail/murata-electronics/GRM31CR61A107MEA8L/16033775</t>
  </si>
  <si>
    <t>Quantity updated to match Fusion export; previous listed quantity was 2</t>
  </si>
  <si>
    <t>https://jlcpcb.com/partdetail/948963-GRM31CR61A107MEA8L/C883598</t>
  </si>
  <si>
    <t>C4</t>
  </si>
  <si>
    <t>Aluminum electrolytic capacitor</t>
  </si>
  <si>
    <t>330 µF, 25 V, ±20%, polarized, radial through-hole, 7000 hrs @ 105°C</t>
  </si>
  <si>
    <t>Radial can, D8.0 mm, 3.5 mm lead spacing</t>
  </si>
  <si>
    <t>25YXJ330M8X11.5</t>
  </si>
  <si>
    <t>25YXJ330M8X11.5-ND</t>
  </si>
  <si>
    <t>https://www.digikey.at/en/products/detail/rubycon/25YXJ330M8X11-5/3563355</t>
  </si>
  <si>
    <t>5V regulator output bulk capacitor</t>
  </si>
  <si>
    <t>https://jlcpcb.com/partdetail/Rubycon-25YXJ330M8X115/C88788</t>
  </si>
  <si>
    <t>C5, C6</t>
  </si>
  <si>
    <t>100nF / 0.1uF, 10V, X7R</t>
  </si>
  <si>
    <t>CAPC1005X55N</t>
  </si>
  <si>
    <t>CL05B104KP5NNNC</t>
  </si>
  <si>
    <t>Samsung Electro-Mechanics</t>
  </si>
  <si>
    <t>1276-1002-1-ND</t>
  </si>
  <si>
    <t>https://www.digikey.com/en/products/detail/samsung-electro-mechanics/CL05B104KP5NNNC/3886660</t>
  </si>
  <si>
    <t>0402 footprint from Fusion matches this MPN</t>
  </si>
  <si>
    <t>https://jlcpcb.com/partdetail/144388-CL05B104KP5NNNC/C133086</t>
  </si>
  <si>
    <t>C8, C10, C12, C14, C15, C19, C20, C21, C22</t>
  </si>
  <si>
    <t>CAPC3216X135</t>
  </si>
  <si>
    <t>Fusion footprint is 1206</t>
  </si>
  <si>
    <t>https://jlcpcb.com/partdetail/2297-CL31B104KCFNNNE/C1945</t>
  </si>
  <si>
    <t>C11</t>
  </si>
  <si>
    <t>100nF / 0.1uF</t>
  </si>
  <si>
    <t>https://jlcpcb.com/partdetail/KEMET-C1206C104G8JAC7800/C1846371</t>
  </si>
  <si>
    <t>C13</t>
  </si>
  <si>
    <t>470uF, 50V, radial, +/-20%</t>
  </si>
  <si>
    <t>CAPPRD500W60D1000H2000</t>
  </si>
  <si>
    <t>ECA-1HM471</t>
  </si>
  <si>
    <t>Panasonic Industry</t>
  </si>
  <si>
    <t>P5185-ND</t>
  </si>
  <si>
    <t>https://www.digikey.com/en/products/detail/panasonic-industry/ECA-1HM471/245044</t>
  </si>
  <si>
    <t>7.5V motor-driver bulk capacitor; larger voltage rating than necessary but OK</t>
  </si>
  <si>
    <t>https://jlcpcb.com/partdetail/PANASONIC-ECA1HM471/C713175</t>
  </si>
  <si>
    <t>C16, C17</t>
  </si>
  <si>
    <t>27pF, 50V, C0G/NP0, ±5%</t>
  </si>
  <si>
    <t>0805 / 2012 metric</t>
  </si>
  <si>
    <t>C0805C270J5GACAUT0</t>
  </si>
  <si>
    <t>KEMET</t>
  </si>
  <si>
    <t>399-18471-1-ND</t>
  </si>
  <si>
    <t>https://www.digikey.com/en/products/detail/kemet/C0805C270J5GACAUT0/9468214</t>
  </si>
  <si>
    <t>Crystal load capacitors</t>
  </si>
  <si>
    <t>https://jlcpcb.com/partdetail/2160-0805CG270J500NT/C1808</t>
  </si>
  <si>
    <t>C18</t>
  </si>
  <si>
    <t>2.2µF, 50V, X7R, ±20%</t>
  </si>
  <si>
    <t>1206 / 3216 metric</t>
  </si>
  <si>
    <t>C1206C225M5RACTU</t>
  </si>
  <si>
    <t>399-13201-1-ND</t>
  </si>
  <si>
    <t>https://www.digikey.com/en/products/detail/kemet/C1206C225M5RACTU/2215541</t>
  </si>
  <si>
    <t>VCAP_1 capacitor</t>
  </si>
  <si>
    <t>https://jlcpcb.com/partdetail/KEMET-C1206C225K5RACTU/C2167253</t>
  </si>
  <si>
    <t>C23</t>
  </si>
  <si>
    <t>4.7uF, 25V, X5R, 0805, +/-10%</t>
  </si>
  <si>
    <t>CAPC2012X140N</t>
  </si>
  <si>
    <t>CL21A475KAQNNNE</t>
  </si>
  <si>
    <t>1276-1244-1-ND</t>
  </si>
  <si>
    <t>https://www.digikey.com/en/products/detail/samsung-electro-mechanics/CL21A475KAQNNNE/3886902</t>
  </si>
  <si>
    <t>MCU 3.3V local bulk capacitor</t>
  </si>
  <si>
    <t>https://jlcpcb.com/partdetail/2131-CL21A475KAQNNNE/C1779</t>
  </si>
  <si>
    <t>D1</t>
  </si>
  <si>
    <t>LED</t>
  </si>
  <si>
    <t>Blue LED, 470nm, 0603, Vf typ 3.3V, 20mA</t>
  </si>
  <si>
    <t>LEDM1608X80</t>
  </si>
  <si>
    <t>LTST-C190TBKT</t>
  </si>
  <si>
    <t>Lite-On Inc.</t>
  </si>
  <si>
    <t>160-1646-1-ND</t>
  </si>
  <si>
    <t>https://www.digikey.com/en/products/detail/liteon/LTST-C190TBKT/388529</t>
  </si>
  <si>
    <t>Indicator LED; better for 5V or 7.5V rail than 3.3V rail</t>
  </si>
  <si>
    <t>https://jlcpcb.com/partdetail/LiteOn-LTSTC190TBKT/C125096</t>
  </si>
  <si>
    <t>D2</t>
  </si>
  <si>
    <t>Schottky Diode</t>
  </si>
  <si>
    <t>20 V, 5 A Schottky rectifier diode, Vf 390 mV @ 3 A</t>
  </si>
  <si>
    <t>SOD-128 / PMDTM Surface Mount</t>
  </si>
  <si>
    <t>RSX501LAM20TR</t>
  </si>
  <si>
    <t>Rohm Semiconductor</t>
  </si>
  <si>
    <t>RSX501LAM20CT-ND</t>
  </si>
  <si>
    <t>https://www.digikey.com/en/products/detail/rohm-semiconductor/RSX501LAM20TR/7318348</t>
  </si>
  <si>
    <t>Use only if LM2596 input is ≤16 V.</t>
  </si>
  <si>
    <t>https://jlcpcb.com/partdetail/ROHMSemicon-RSX501LAM20TR/C253526</t>
  </si>
  <si>
    <t>D3</t>
  </si>
  <si>
    <t>40V, 3A, DO-201AD axial</t>
  </si>
  <si>
    <t>DIOAD2120W130L950D530P</t>
  </si>
  <si>
    <t>1N5822</t>
  </si>
  <si>
    <t>STMicroelectronics</t>
  </si>
  <si>
    <t>497-11370-1-ND</t>
  </si>
  <si>
    <t>https://www.digikey.com/en/products/detail/stmicroelectronics/1N5822/1037332</t>
  </si>
  <si>
    <t>LM2575 freewheel/catch diodes; listing marked obsolete</t>
  </si>
  <si>
    <t>https://jlcpcb.com/partdetail/STMicroelectronics-1N5822/C915962</t>
  </si>
  <si>
    <t>D4</t>
  </si>
  <si>
    <t>Amber LED, 592nm, 0603, Vf typ 1.9V</t>
  </si>
  <si>
    <t>LED_HSMA-C190</t>
  </si>
  <si>
    <t>HSMA-C190</t>
  </si>
  <si>
    <t>Broadcom Limited</t>
  </si>
  <si>
    <t>516-1423-1-ND</t>
  </si>
  <si>
    <t>https://www.digikey.com/en/products/detail/broadcom-limited/HSMA-C190/637684</t>
  </si>
  <si>
    <t>Indicator / heartbeat LED; good for 3.3V with proper series resistor</t>
  </si>
  <si>
    <t>https://jlcpcb.com/partdetail/BroadcomLimited-HSMAC190/C6571615</t>
  </si>
  <si>
    <t>DCPOWERJACKD~7.5V</t>
  </si>
  <si>
    <t>DC barrel power jack</t>
  </si>
  <si>
    <t>2.5 mm ID / 5.5 mm OD, right-angle through-hole jack, 24 VDC, 5 A, 3 contacts, normally closed switch</t>
  </si>
  <si>
    <t>Through-hole, right-angle barrel jack</t>
  </si>
  <si>
    <t>PJ-002BH</t>
  </si>
  <si>
    <t>Same Sky / formerly CUI Devices</t>
  </si>
  <si>
    <t>CP-002BH-ND</t>
  </si>
  <si>
    <t>https://www.digikey.com/en/products/detail/same-sky-formerly-cui-devices/PJ-002B/96965</t>
  </si>
  <si>
    <t>Main 7.5V power input connector</t>
  </si>
  <si>
    <t>https://jlcpcb.com/partdetail/CUI-PJ002BH/C22359705</t>
  </si>
  <si>
    <t>F1</t>
  </si>
  <si>
    <t>Fuse</t>
  </si>
  <si>
    <t>10 A 50 V Fuse Board Mount</t>
  </si>
  <si>
    <t>FUSC3215X83N</t>
  </si>
  <si>
    <t>0685P9100-01</t>
  </si>
  <si>
    <t>BEL Fuse</t>
  </si>
  <si>
    <t xml:space="preserve">DigiKey </t>
  </si>
  <si>
    <t>2223-PJ-105BH-MSMT-TR-ND</t>
  </si>
  <si>
    <t>https://www.digikey.com/en/products/detail/bel-fuse-inc/0685P9100-01/10057383</t>
  </si>
  <si>
    <t>BELFUSE 0685P9100-01 footprint/value</t>
  </si>
  <si>
    <t>https://jlcpcb.com/partdetail/Shenzhen_JDTFuse-JFC12062100FS/C136354</t>
  </si>
  <si>
    <t>IC1</t>
  </si>
  <si>
    <t>DC-DC Buck Switching Regulator IC</t>
  </si>
  <si>
    <t>Fixed 3.3 V output, 3 A, step-down regulator, 4.5 V–40 V input, 150 kHz</t>
  </si>
  <si>
    <t>TO-220-5 Formed Leads / Through Hole</t>
  </si>
  <si>
    <t>LM2596T-3.3/NOPB</t>
  </si>
  <si>
    <t>Texas Instruments</t>
  </si>
  <si>
    <t>LM2596T-3.3/NOPB-ND</t>
  </si>
  <si>
    <t>https://www.digikey.com/en/products/detail/texas-instruments/LM2596T-3-3-NOPB/363707</t>
  </si>
  <si>
    <t>7.5V to 3.3V regulator; through-hole package</t>
  </si>
  <si>
    <t>https://jlcpcb.com/partdetail/TexasInstruments-LM2596T_3_3NOPB/C1355424</t>
  </si>
  <si>
    <t>IC2</t>
  </si>
  <si>
    <t>Buck regulator IC</t>
  </si>
  <si>
    <t>Fixed 5V output, 1A, 52kHz, TO-263/DDPAK-5</t>
  </si>
  <si>
    <t>VREG_LM2575S-5.0/NOPB</t>
  </si>
  <si>
    <t>LM2575S-5.0/NOPB</t>
  </si>
  <si>
    <t>LM2575S-5.0/NOPB-ND</t>
  </si>
  <si>
    <t>https://www.digikey.com/en/products/detail/texas-instruments/LM2575S-5-0-NOPB/363646</t>
  </si>
  <si>
    <t>7.5V to 5V regulator</t>
  </si>
  <si>
    <t>https://jlcpcb.com/partdetail/TexasInstruments-LM2575S_5_0NOPB/C2865532</t>
  </si>
  <si>
    <t>IC3</t>
  </si>
  <si>
    <t>Microcontroller</t>
  </si>
  <si>
    <t>STM32F411, ARM Cortex-M4, 512KB Flash, 128KB RAM, 48-UFQFPN</t>
  </si>
  <si>
    <t>STM32F411CEU6</t>
  </si>
  <si>
    <t>497-14907-ND</t>
  </si>
  <si>
    <t>https://www.digikey.com/en/products/detail/stmicroelectronics/STM32F411CEU6/4935720</t>
  </si>
  <si>
    <t>Main MCU; verify exact 48-UFQFPN exposed-pad footprint</t>
  </si>
  <si>
    <t>https://jlcpcb.com/partdetail/STMicroelectronics-STM32F411CEU6/C60420</t>
  </si>
  <si>
    <t>L1</t>
  </si>
  <si>
    <t>Power Inductor</t>
  </si>
  <si>
    <t>33 µH, 5 A shielded drum core wirewound inductor, 75.4 mΩ max DCR, 7.6 A saturation current</t>
  </si>
  <si>
    <t>2-SMD, J-Lead / 10.7 mm × 10.0 mm</t>
  </si>
  <si>
    <t>ETQ-P5M330YFC</t>
  </si>
  <si>
    <t>PCD2434CT-ND</t>
  </si>
  <si>
    <t>https://www.digikey.com/en/products/detail/panasonic-industry/ETQ-P5M330YFC/5357810</t>
  </si>
  <si>
    <t>Provide enough copper area because it may warm up at high current.</t>
  </si>
  <si>
    <t>https://jlcpcb.com/partdetail/PANASONIC-ETQP5M330YFC/C542339</t>
  </si>
  <si>
    <t xml:space="preserve"> L2</t>
  </si>
  <si>
    <t>Power inductor</t>
  </si>
  <si>
    <t>330uH, shielded, 1.5A, DCR 430mOhm max</t>
  </si>
  <si>
    <t>WE-PD_1210</t>
  </si>
  <si>
    <t>7447709331</t>
  </si>
  <si>
    <t>Wurth Elektronik</t>
  </si>
  <si>
    <t>732-1698-1-ND</t>
  </si>
  <si>
    <t>https://www.digikey.com/en/products/detail/w%C3%BCrth-elektronik/7447709331/1994059</t>
  </si>
  <si>
    <t>Inductors for 3.3V and 5V buck regulators</t>
  </si>
  <si>
    <t>https://jlcpcb.com/partdetail/WurthElektronik-7447709331/C2041321</t>
  </si>
  <si>
    <t>LAZER</t>
  </si>
  <si>
    <t>Male header</t>
  </si>
  <si>
    <t>3-position, 2.54mm pitch, vertical, through-hole, unshrouded</t>
  </si>
  <si>
    <t>WURTH_61300311121</t>
  </si>
  <si>
    <t>61300311121</t>
  </si>
  <si>
    <t>732-5316-ND</t>
  </si>
  <si>
    <t>https://www.digikey.com/en/products/detail/w%C3%BCrth-elektronik/61300311121/4846825</t>
  </si>
  <si>
    <t>3-pin laser module connector</t>
  </si>
  <si>
    <t>https://jlcpcb.com/partdetail/WurthElektronik-61300311121/C2915006</t>
  </si>
  <si>
    <t>LIDAR, SPARE, SWD</t>
  </si>
  <si>
    <t>6-position, 2.54mm pitch, vertical, through-hole, unshrouded</t>
  </si>
  <si>
    <t>1x06 / 2.54mm THT</t>
  </si>
  <si>
    <t>732-5319-ND</t>
  </si>
  <si>
    <t>https://www.digikey.com/en/products/detail/w%C3%BCrth-elektronik/61300611121/4846833</t>
  </si>
  <si>
    <t>6-pin headers from Fusion export; verify exact DigiKey link/part</t>
  </si>
  <si>
    <t>https://jlcpcb.com/partdetail/WurthElektronik-61300611121/C5444523</t>
  </si>
  <si>
    <t>PAN, TILT</t>
  </si>
  <si>
    <t>Pin header</t>
  </si>
  <si>
    <t>5-position, 2.54mm pitch, vertical, through-hole, unshrouded</t>
  </si>
  <si>
    <t>1x05 / 2.54mm THT</t>
  </si>
  <si>
    <t>Würth Elektronik</t>
  </si>
  <si>
    <t>732-5318-ND</t>
  </si>
  <si>
    <t>https://www.digikey.com/en/products/detail/w%C3%BCrth-elektronik/61300511121/4846831</t>
  </si>
  <si>
    <t>Servo modified 5-wire connectors; exact MPN not provided</t>
  </si>
  <si>
    <t>https://jlcpcb.com/partdetail/WurthElektronik-61300511121/C6461551</t>
  </si>
  <si>
    <t>PAN_DRIVER, TILT_DRIVER</t>
  </si>
  <si>
    <t>Brushed DC motor driver IC</t>
  </si>
  <si>
    <t>4–28 V supply/load, 15 A output, PWM interface, dual half-bridge, AEC-Q100 automotive</t>
  </si>
  <si>
    <t>16-SOIC, 0.154" / 3.90 mm width, surface mount</t>
  </si>
  <si>
    <t>VNH7070ASTR</t>
  </si>
  <si>
    <t>497-17630-1-ND / 497-17630-2-ND / 497-17630-6-ND</t>
  </si>
  <si>
    <t>https://www.digikey.com/en/products/detail/stmicroelectronics/VNH7070ASTR/7313214?s=N4IgTCBcDaIGoDkASB2ADOgggZQCoCUQBdAXyA</t>
  </si>
  <si>
    <t>Pan and tilt motor drivers; DigiKey listing marked obsolete</t>
  </si>
  <si>
    <t>https://jlcpcb.com/partdetail/STMicroelectronics-VNH7070ASTR/C2150622</t>
  </si>
  <si>
    <t>PIXY2</t>
  </si>
  <si>
    <t>Pixy2 board connector; exact MPN not provided</t>
  </si>
  <si>
    <t>Q1</t>
  </si>
  <si>
    <t>P-channel MOSFET</t>
  </si>
  <si>
    <t>30V, 18A, PowerPAK 1212-8, low Rds(on)</t>
  </si>
  <si>
    <t>POWERPAK_1212-8</t>
  </si>
  <si>
    <t>SIS413DN-T1-GE3</t>
  </si>
  <si>
    <t>Vishay Siliconix</t>
  </si>
  <si>
    <t>SIS413DN-T1-GE3CT-ND</t>
  </si>
  <si>
    <t>https://www.digikey.com/en/products/detail/vishay-siliconix/SIS413DN-T1-GE3/4142142</t>
  </si>
  <si>
    <t>Input reverse-polarity / high-side protection MOSFET</t>
  </si>
  <si>
    <t>https://jlcpcb.com/partdetail/VishayIntertech-SIS413DN_T1GE3/C145006</t>
  </si>
  <si>
    <t>R1, R11, R13</t>
  </si>
  <si>
    <t>Resistor</t>
  </si>
  <si>
    <t>100kΩ, ±1%, 1/4W, thick film</t>
  </si>
  <si>
    <t>RC1206FR-07100KL</t>
  </si>
  <si>
    <t>YAGEO</t>
  </si>
  <si>
    <t>311-100KFRCT-ND</t>
  </si>
  <si>
    <t>https://www.digikey.com/en/products/detail/yageo/RC1206FR-07100KL/728492</t>
  </si>
  <si>
    <t>Generic 1206 resistor; exact MPN not provided</t>
  </si>
  <si>
    <t>https://jlcpcb.com/partdetail/YAGEO-RC1206FR07100KL/C137393</t>
  </si>
  <si>
    <t>R2</t>
  </si>
  <si>
    <t>18kΩ, ±1%, 1/4W, thick film</t>
  </si>
  <si>
    <t>RC1206FR-0718KL</t>
  </si>
  <si>
    <t>311-18.0KFRCT-ND</t>
  </si>
  <si>
    <t>https://www.digikey.com/en/products/detail/yageo/RC1206FR-0718KL/728592</t>
  </si>
  <si>
    <t>https://jlcpcb.com/partdetail/YAGEO-RC1206FR0718KL/C137379</t>
  </si>
  <si>
    <t>R3</t>
  </si>
  <si>
    <t>7.5kΩ, ±1%, 1/4W, thick film</t>
  </si>
  <si>
    <t>RC1206FR-077K5L</t>
  </si>
  <si>
    <t>311-7.50KFRCT-ND</t>
  </si>
  <si>
    <t>https://www.digikey.com/en/products/detail/yageo/RC1206FR-077K5L/729079</t>
  </si>
  <si>
    <t>https://jlcpcb.com/partdetail/YAGEO-RC1206FR077K5L/C137232</t>
  </si>
  <si>
    <t>R4</t>
  </si>
  <si>
    <t>3.3kΩ, ±1%, 1/4W, thick film</t>
  </si>
  <si>
    <t>RC1206FR-073K3L</t>
  </si>
  <si>
    <t>311-3.30KFRCT-ND</t>
  </si>
  <si>
    <t>https://www.digikey.com/en/products/detail/yageo/RC1206FR-073K3L/728766</t>
  </si>
  <si>
    <t>https://jlcpcb.com/partdetail/YAGEO-RC1206FR073K3L/C137292</t>
  </si>
  <si>
    <t>R5, R6, R7, R8, R9, R10, R12, R14, R15, R16, R17, R19</t>
  </si>
  <si>
    <t>1kΩ, ±1%, 1/4W, thick film</t>
  </si>
  <si>
    <t>RC1206FR-071KL</t>
  </si>
  <si>
    <t>311-1.00KFRCT-ND</t>
  </si>
  <si>
    <t>https://www.digikey.com/en/products/detail/yageo/RC1206FR-071KL/728387</t>
  </si>
  <si>
    <t>https://jlcpcb.com/partdetail/YAGEO-RC1206FR071KL/C131398</t>
  </si>
  <si>
    <t>R18, R20</t>
  </si>
  <si>
    <t>10kΩ, ±1%, 1/4W, thick film</t>
  </si>
  <si>
    <t>RC1206FR-0710KL</t>
  </si>
  <si>
    <t>311-10.0KFRCT-ND</t>
  </si>
  <si>
    <t>https://www.digikey.com/en/products/detail/yageo/RC1206FR-0710KL/728483</t>
  </si>
  <si>
    <t>https://jlcpcb.com/partdetail/YAGEO-RC1206FR0710KL/C132649</t>
  </si>
  <si>
    <t>S1</t>
  </si>
  <si>
    <t>Tactile switch</t>
  </si>
  <si>
    <t>Reset pushbutton</t>
  </si>
  <si>
    <t>SW_B3U-1000PM</t>
  </si>
  <si>
    <t>B3U-1000PM</t>
  </si>
  <si>
    <t>Omron</t>
  </si>
  <si>
    <t>SW1020CT-ND</t>
  </si>
  <si>
    <t>https://www.digikey.com/en/products/detail/omron-electronics-inc-emc-div/B3U-1000PM/11312954</t>
  </si>
  <si>
    <t>Exact supplier link not provided</t>
  </si>
  <si>
    <t>https://jlcpcb.com/partdetail/OmronElectronics-B3U1000PM/C2934715</t>
  </si>
  <si>
    <t>USB</t>
  </si>
  <si>
    <t>USB connector</t>
  </si>
  <si>
    <t>Mini USB-B receptacle, 5 position, SMD, right angle</t>
  </si>
  <si>
    <t>AMPHENOL_10033526-N3212LF</t>
  </si>
  <si>
    <t>10033526-N3212LF</t>
  </si>
  <si>
    <t>Amphenol ICC (FCI)</t>
  </si>
  <si>
    <t>609-4700-1-ND</t>
  </si>
  <si>
    <t>https://www.digikey.com/en/products/detail/amphenol-cs-fci/10033526-N3212LF/4292074</t>
  </si>
  <si>
    <t>USB interface connector</t>
  </si>
  <si>
    <t>https://jlcpcb.com/partdetail/AmphenolICC-10033526N3212LF/C428494</t>
  </si>
  <si>
    <t>Y1</t>
  </si>
  <si>
    <t>Crystal</t>
  </si>
  <si>
    <t>8MHz, 18pF load capacitance, +/-50ppm, SMD HC-49/US</t>
  </si>
  <si>
    <t>XTAL_ABLS-LR-8.000MHZ-T</t>
  </si>
  <si>
    <t>ABLS-LR-8.000MHZ-T</t>
  </si>
  <si>
    <t>Abracon LLC</t>
  </si>
  <si>
    <t>535-10173-1-ND</t>
  </si>
  <si>
    <t>https://www.digikey.com/en/products/detail/abracon-llc/ABLS-LR-8-000MHZ-T/2184116</t>
  </si>
  <si>
    <t>STM32 external high-speed oscillator / HSE</t>
  </si>
  <si>
    <t>https://jlcpcb.com/partdetail/ECS-ECS_80_18_5PXTR/C312598</t>
  </si>
  <si>
    <t>Q2</t>
  </si>
  <si>
    <t>NPN BJT Transistor</t>
  </si>
  <si>
    <t>40 V, 200 mA, 300 MHz, 625 mW general-purpose NPN transistor</t>
  </si>
  <si>
    <t>TO-92 / TO-226-3 Through Hole</t>
  </si>
  <si>
    <t>2N3904</t>
  </si>
  <si>
    <t>Diotec Semiconductor</t>
  </si>
  <si>
    <t>5245-2N3904CT-ND</t>
  </si>
  <si>
    <t>https://www.digikey.com/en/products/detail/dcomponents/2N3904/13575042</t>
  </si>
  <si>
    <t>Emitter to GND, Base through 1 kΩ from LASER_EN, Collector to laser negative.</t>
  </si>
  <si>
    <t>https://jlcpcb.com/partdetail/DIOTEC-2N3904/C3201586</t>
  </si>
  <si>
    <t>LIDAR module</t>
  </si>
  <si>
    <t>Off-board module</t>
  </si>
  <si>
    <t>TF-Luna single-point LiDAR, 0.2m-8m, UART/I2C, 5V, 6-pin cable</t>
  </si>
  <si>
    <t>TF-Luna LiDAR Range Finder Sensor</t>
  </si>
  <si>
    <t>Wishiot / Benewake-style module</t>
  </si>
  <si>
    <t>Amazon</t>
  </si>
  <si>
    <t>https://www.amazon.com/dp/B09PZ559ZB?ref=ppx_yo2ov_dt_b_fed_asin_title</t>
  </si>
  <si>
    <t>LASER module</t>
  </si>
  <si>
    <t>KY-008 laser transmitter module, 5V, 650nm, 3-pin</t>
  </si>
  <si>
    <t>KY-008</t>
  </si>
  <si>
    <t>KOOKBOOK</t>
  </si>
  <si>
    <t>https://www.amazon.com/dp/B07S9B5W98?ref=ppx_yo2ov_dt_b_fed_asin_title</t>
  </si>
  <si>
    <t>MECH_PTZ</t>
  </si>
  <si>
    <t>Mechanical assembly</t>
  </si>
  <si>
    <t>Yahboom 2DOF electric pan/tilt platform, selected without servo/control board</t>
  </si>
  <si>
    <t>2DOF PTZ / SKU 6000301351</t>
  </si>
  <si>
    <t>Yahboom</t>
  </si>
  <si>
    <t>https://category.yahboom.net/products/2dof-ptz</t>
  </si>
  <si>
    <t>PIXY2 module</t>
  </si>
  <si>
    <t>Pixy2 / Pixy 2.1 smart vision sensor, object tracking camera</t>
  </si>
  <si>
    <t>Pixy2 / Pixy 2.1</t>
  </si>
  <si>
    <t>Charmed Labs</t>
  </si>
  <si>
    <t>https://www.amazon.com/Charmed-Labs-Pixy2-Vision-Sensor/dp/B07D1CLYD2</t>
  </si>
  <si>
    <t>PS1 / External Supply</t>
  </si>
  <si>
    <t>AC/DC wall adapter</t>
  </si>
  <si>
    <t>7.5V DC wall adapter, 7.5W, barrel plug</t>
  </si>
  <si>
    <t>Off-board power adapter</t>
  </si>
  <si>
    <t>Guy-Tech 7.5V adapter compatible with Triad WSU075-1000-R</t>
  </si>
  <si>
    <t>Guy-Tech</t>
  </si>
  <si>
    <t>https://www.amazon.com/Guy-Tech-Adapter-Compatible-Magnetics-WSU075-1000-R/dp/B0FH6N6MBS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</si>
</sst>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u/>
      <sz val="11"/>
      <color theme="10"/>
      <name val="Carlito"/>
    </font>
    <font>
      <sz val="11"/>
      <color theme="1"/>
      <name val="carlito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1" xfId="0" applyFill="1" applyBorder="1" applyAlignment="1">
      <alignment horizontal="center" wrapText="1"/>
    </xf>
    <xf numFmtId="0" fontId="0" fillId="4" borderId="1" xfId="0" applyFill="1" applyBorder="1" applyAlignment="1">
      <alignment horizontal="center" wrapText="1"/>
    </xf>
    <xf numFmtId="0" fontId="0" fillId="5" borderId="1" xfId="0" applyFill="1" applyBorder="1" applyAlignment="1">
      <alignment horizontal="center" wrapText="1"/>
    </xf>
    <xf numFmtId="0" fontId="0" fillId="6" borderId="1" xfId="0" applyFill="1" applyBorder="1" applyAlignment="1">
      <alignment horizontal="center" wrapText="1"/>
    </xf>
    <xf numFmtId="0" fontId="0" fillId="7" borderId="1" xfId="0" applyFill="1" applyBorder="1" applyAlignment="1">
      <alignment horizontal="center" wrapText="1"/>
    </xf>
    <xf numFmtId="0" fontId="2" fillId="7" borderId="1" xfId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7" borderId="0" xfId="0" applyFill="1" applyAlignment="1">
      <alignment horizontal="center" wrapText="1"/>
    </xf>
    <xf numFmtId="0" fontId="0" fillId="8" borderId="1" xfId="0" applyFill="1" applyBorder="1" applyAlignment="1">
      <alignment horizontal="center" wrapText="1"/>
    </xf>
    <xf numFmtId="0" fontId="0" fillId="8" borderId="1" xfId="0" applyFill="1" applyBorder="1" applyAlignment="1">
      <alignment horizontal="center" vertical="center" wrapText="1"/>
    </xf>
    <xf numFmtId="0" fontId="2" fillId="8" borderId="1" xfId="1" applyFill="1" applyBorder="1" applyAlignment="1">
      <alignment horizontal="center" vertical="center" wrapText="1"/>
    </xf>
    <xf numFmtId="0" fontId="0" fillId="8" borderId="0" xfId="0" applyFill="1"/>
    <xf numFmtId="0" fontId="0" fillId="8" borderId="2" xfId="0" applyFill="1" applyBorder="1"/>
    <xf numFmtId="0" fontId="0" fillId="8" borderId="3" xfId="0" applyFill="1" applyBorder="1" applyAlignment="1">
      <alignment horizontal="center" wrapText="1"/>
    </xf>
    <xf numFmtId="0" fontId="0" fillId="8" borderId="3" xfId="0" applyFill="1" applyBorder="1" applyAlignment="1">
      <alignment horizontal="center"/>
    </xf>
    <xf numFmtId="0" fontId="0" fillId="8" borderId="4" xfId="0" applyFill="1" applyBorder="1"/>
    <xf numFmtId="0" fontId="0" fillId="7" borderId="6" xfId="0" applyFill="1" applyBorder="1" applyAlignment="1">
      <alignment horizontal="center" wrapText="1"/>
    </xf>
    <xf numFmtId="0" fontId="0" fillId="7" borderId="7" xfId="0" applyFill="1" applyBorder="1" applyAlignment="1">
      <alignment horizontal="center" wrapText="1"/>
    </xf>
    <xf numFmtId="0" fontId="0" fillId="5" borderId="2" xfId="0" applyFill="1" applyBorder="1" applyAlignment="1">
      <alignment horizontal="center" wrapText="1"/>
    </xf>
    <xf numFmtId="0" fontId="0" fillId="6" borderId="2" xfId="0" applyFill="1" applyBorder="1" applyAlignment="1">
      <alignment horizontal="center" wrapText="1"/>
    </xf>
    <xf numFmtId="0" fontId="0" fillId="4" borderId="3" xfId="0" applyFill="1" applyBorder="1" applyAlignment="1">
      <alignment horizontal="center" wrapText="1"/>
    </xf>
    <xf numFmtId="0" fontId="0" fillId="7" borderId="5" xfId="0" applyFill="1" applyBorder="1" applyAlignment="1">
      <alignment horizontal="center" wrapText="1"/>
    </xf>
    <xf numFmtId="0" fontId="0" fillId="7" borderId="8" xfId="0" applyFill="1" applyBorder="1" applyAlignment="1">
      <alignment horizontal="center" wrapText="1"/>
    </xf>
    <xf numFmtId="0" fontId="0" fillId="7" borderId="10" xfId="0" applyFill="1" applyBorder="1" applyAlignment="1">
      <alignment horizontal="center" wrapText="1"/>
    </xf>
    <xf numFmtId="0" fontId="0" fillId="5" borderId="7" xfId="0" applyFill="1" applyBorder="1" applyAlignment="1">
      <alignment horizontal="center" wrapText="1"/>
    </xf>
    <xf numFmtId="0" fontId="0" fillId="6" borderId="7" xfId="0" applyFill="1" applyBorder="1" applyAlignment="1">
      <alignment horizontal="center" wrapText="1"/>
    </xf>
    <xf numFmtId="0" fontId="0" fillId="6" borderId="0" xfId="0" applyFill="1" applyAlignment="1">
      <alignment horizontal="center" wrapText="1"/>
    </xf>
    <xf numFmtId="0" fontId="2" fillId="0" borderId="0" xfId="1" applyAlignment="1">
      <alignment horizontal="center" wrapText="1"/>
    </xf>
    <xf numFmtId="0" fontId="0" fillId="0" borderId="0" xfId="0" applyAlignment="1">
      <alignment horizont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7" borderId="9" xfId="0" applyFill="1" applyBorder="1" applyAlignment="1">
      <alignment horizontal="center" wrapText="1"/>
    </xf>
    <xf numFmtId="0" fontId="0" fillId="7" borderId="2" xfId="0" applyFill="1" applyBorder="1" applyAlignment="1">
      <alignment horizontal="center" wrapText="1"/>
    </xf>
    <xf numFmtId="0" fontId="2" fillId="7" borderId="5" xfId="1" applyFill="1" applyBorder="1" applyAlignment="1">
      <alignment horizontal="center" wrapText="1"/>
    </xf>
    <xf numFmtId="0" fontId="2" fillId="7" borderId="0" xfId="1" applyFill="1" applyAlignment="1">
      <alignment horizontal="center" wrapText="1"/>
    </xf>
    <xf numFmtId="0" fontId="3" fillId="7" borderId="0" xfId="0" applyFont="1" applyFill="1" applyAlignment="1">
      <alignment horizontal="center" wrapText="1"/>
    </xf>
    <xf numFmtId="0" fontId="0" fillId="7" borderId="2" xfId="0" applyFill="1" applyBorder="1" applyAlignment="1">
      <alignment horizontal="center"/>
    </xf>
    <xf numFmtId="0" fontId="0" fillId="5" borderId="6" xfId="0" applyFill="1" applyBorder="1" applyAlignment="1">
      <alignment horizontal="center" wrapText="1"/>
    </xf>
    <xf numFmtId="0" fontId="0" fillId="6" borderId="6" xfId="0" applyFill="1" applyBorder="1" applyAlignment="1">
      <alignment horizontal="center" wrapText="1"/>
    </xf>
    <xf numFmtId="0" fontId="0" fillId="7" borderId="11" xfId="0" applyFill="1" applyBorder="1" applyAlignment="1">
      <alignment horizontal="center" wrapText="1"/>
    </xf>
    <xf numFmtId="0" fontId="2" fillId="0" borderId="0" xfId="1" applyFill="1" applyAlignment="1">
      <alignment horizontal="center" wrapText="1"/>
    </xf>
    <xf numFmtId="0" fontId="0" fillId="7" borderId="2" xfId="0" applyFill="1" applyBorder="1"/>
    <xf numFmtId="0" fontId="0" fillId="7" borderId="4" xfId="0" applyFill="1" applyBorder="1" applyAlignment="1">
      <alignment horizontal="center"/>
    </xf>
    <xf numFmtId="0" fontId="0" fillId="5" borderId="12" xfId="0" applyFill="1" applyBorder="1" applyAlignment="1">
      <alignment horizontal="center" wrapText="1"/>
    </xf>
    <xf numFmtId="0" fontId="0" fillId="7" borderId="13" xfId="0" applyFill="1" applyBorder="1" applyAlignment="1">
      <alignment horizontal="center" wrapText="1"/>
    </xf>
    <xf numFmtId="0" fontId="0" fillId="6" borderId="14" xfId="0" applyFill="1" applyBorder="1" applyAlignment="1">
      <alignment horizontal="center" wrapText="1"/>
    </xf>
    <xf numFmtId="0" fontId="0" fillId="5" borderId="0" xfId="0" applyFill="1" applyAlignment="1">
      <alignment horizontal="center" wrapText="1"/>
    </xf>
    <xf numFmtId="0" fontId="2" fillId="7" borderId="3" xfId="1" applyFill="1" applyBorder="1" applyAlignment="1">
      <alignment horizontal="center" wrapText="1"/>
    </xf>
    <xf numFmtId="0" fontId="0" fillId="8" borderId="15" xfId="0" applyFill="1" applyBorder="1" applyAlignment="1">
      <alignment horizontal="center" wrapText="1"/>
    </xf>
    <xf numFmtId="0" fontId="0" fillId="5" borderId="0" xfId="0" applyFill="1" applyAlignment="1">
      <alignment horizontal="center"/>
    </xf>
    <xf numFmtId="0" fontId="0" fillId="5" borderId="3" xfId="0" applyFill="1" applyBorder="1" applyAlignment="1">
      <alignment horizontal="center" wrapText="1"/>
    </xf>
    <xf numFmtId="0" fontId="2" fillId="7" borderId="16" xfId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mbinedBOM" displayName="CombinedBOM" ref="A1:O44">
  <tableColumns count="15">
    <tableColumn id="1" xr3:uid="{00000000-0010-0000-0000-000001000000}" name="Reference Designators"/>
    <tableColumn id="2" xr3:uid="{00000000-0010-0000-0000-000002000000}" name="Quantity"/>
    <tableColumn id="3" xr3:uid="{00000000-0010-0000-0000-000003000000}" name="Part Type"/>
    <tableColumn id="4" xr3:uid="{00000000-0010-0000-0000-000004000000}" name="Value / Description"/>
    <tableColumn id="5" xr3:uid="{00000000-0010-0000-0000-000005000000}" name="Package / Footprint"/>
    <tableColumn id="6" xr3:uid="{00000000-0010-0000-0000-000006000000}" name="MPN / Product"/>
    <tableColumn id="7" xr3:uid="{00000000-0010-0000-0000-000007000000}" name="Manufacturer"/>
    <tableColumn id="8" xr3:uid="{00000000-0010-0000-0000-000008000000}" name="Supplier"/>
    <tableColumn id="9" xr3:uid="{00000000-0010-0000-0000-000009000000}" name="Vendor Part Number"/>
    <tableColumn id="10" xr3:uid="{00000000-0010-0000-0000-00000A000000}" name="Link"/>
    <tableColumn id="11" xr3:uid="{00000000-0010-0000-0000-00000B000000}" name="Notes"/>
    <tableColumn id="12" xr3:uid="{CE3F7212-09BE-438F-A053-403820C686A1}" name="JCL LINK"/>
    <tableColumn id="13" xr3:uid="{E3E2DA2B-51F4-4374-8E7A-050877CE93C0}" name="VERIFIED"/>
    <tableColumn id="14" xr3:uid="{505AA028-1DAE-4E96-A3E7-6B10F7CF68EC}" name="PLACED"/>
    <tableColumn id="15" xr3:uid="{25503ECF-B105-44F4-8B8B-B3C4F0E1C23D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jlcpcb.com/partdetail/YAGEO-RC1206FR0710KL/C132649" TargetMode="External"/><Relationship Id="rId21" Type="http://schemas.openxmlformats.org/officeDocument/2006/relationships/hyperlink" Target="https://jlcpcb.com/partdetail/WurthElektronik-61300611121/C5444523" TargetMode="External"/><Relationship Id="rId42" Type="http://schemas.openxmlformats.org/officeDocument/2006/relationships/hyperlink" Target="https://jlcpcb.com/partdetail/BroadcomLimited-HSMAC190/C6571615" TargetMode="External"/><Relationship Id="rId47" Type="http://schemas.openxmlformats.org/officeDocument/2006/relationships/hyperlink" Target="https://www.digikey.com/en/products/detail/stmicroelectronics/STM32F411CEU6/4935720" TargetMode="External"/><Relationship Id="rId63" Type="http://schemas.openxmlformats.org/officeDocument/2006/relationships/hyperlink" Target="https://www.digikey.com/en/products/detail/rohm-semiconductor/RSX501LAM20TR/7318348" TargetMode="External"/><Relationship Id="rId68" Type="http://schemas.openxmlformats.org/officeDocument/2006/relationships/hyperlink" Target="https://jlcpcb.com/partdetail/Rubycon-35ZLH680MEFC10X23/C338198" TargetMode="External"/><Relationship Id="rId7" Type="http://schemas.openxmlformats.org/officeDocument/2006/relationships/hyperlink" Target="https://www.digikey.com/en/products/detail/yageo/RC1206FR-0710KL/728483" TargetMode="External"/><Relationship Id="rId71" Type="http://schemas.openxmlformats.org/officeDocument/2006/relationships/table" Target="../tables/table1.xml"/><Relationship Id="rId2" Type="http://schemas.openxmlformats.org/officeDocument/2006/relationships/hyperlink" Target="https://www.digikey.com/en/products/detail/kemet/C0805C270J5GACAUT0/9468214" TargetMode="External"/><Relationship Id="rId16" Type="http://schemas.openxmlformats.org/officeDocument/2006/relationships/hyperlink" Target="https://jlcpcb.com/partdetail/WurthElektronik-7447709331/C2041321" TargetMode="External"/><Relationship Id="rId29" Type="http://schemas.openxmlformats.org/officeDocument/2006/relationships/hyperlink" Target="https://www.digikey.sk/en/products/detail/murata-electronics/GRM31CR61A107MEA8L/16033775" TargetMode="External"/><Relationship Id="rId11" Type="http://schemas.openxmlformats.org/officeDocument/2006/relationships/hyperlink" Target="https://jlcpcb.com/partdetail/Keystone-5019/C238131" TargetMode="External"/><Relationship Id="rId24" Type="http://schemas.openxmlformats.org/officeDocument/2006/relationships/hyperlink" Target="https://jlcpcb.com/partdetail/YAGEO-RC1206FR0718KL/C137379" TargetMode="External"/><Relationship Id="rId32" Type="http://schemas.openxmlformats.org/officeDocument/2006/relationships/hyperlink" Target="https://jlcpcb.com/partdetail/KEMET-C1206C104G8JAC7800/C1846371" TargetMode="External"/><Relationship Id="rId37" Type="http://schemas.openxmlformats.org/officeDocument/2006/relationships/hyperlink" Target="https://www.digikey.com/en/products/detail/liteon/LTST-C190TBKT/388529" TargetMode="External"/><Relationship Id="rId40" Type="http://schemas.openxmlformats.org/officeDocument/2006/relationships/hyperlink" Target="https://jlcpcb.com/partdetail/STMicroelectronics-1N5822/C915962" TargetMode="External"/><Relationship Id="rId45" Type="http://schemas.openxmlformats.org/officeDocument/2006/relationships/hyperlink" Target="https://www.digikey.com/en/products/detail/texas-instruments/LM2575S-5-0-NOPB/363646" TargetMode="External"/><Relationship Id="rId53" Type="http://schemas.openxmlformats.org/officeDocument/2006/relationships/hyperlink" Target="https://jlcpcb.com/partdetail/Rubycon-25YXJ330M8X115/C88788" TargetMode="External"/><Relationship Id="rId58" Type="http://schemas.openxmlformats.org/officeDocument/2006/relationships/hyperlink" Target="https://www.digikey.com/en/products/detail/samsung-electro-mechanics/CL05B104KP5NNNC/3886660" TargetMode="External"/><Relationship Id="rId66" Type="http://schemas.openxmlformats.org/officeDocument/2006/relationships/hyperlink" Target="https://jlcpcb.com/partdetail/PANASONIC-ETQP5M330YFC/C542339" TargetMode="External"/><Relationship Id="rId5" Type="http://schemas.openxmlformats.org/officeDocument/2006/relationships/hyperlink" Target="https://www.digikey.com/en/products/detail/bel-fuse-inc/0685P9100-01/10057383" TargetMode="External"/><Relationship Id="rId61" Type="http://schemas.openxmlformats.org/officeDocument/2006/relationships/hyperlink" Target="https://www.digikey.com/en/products/detail/dcomponents/2N3904/13575042" TargetMode="External"/><Relationship Id="rId19" Type="http://schemas.openxmlformats.org/officeDocument/2006/relationships/hyperlink" Target="https://jlcpcb.com/partdetail/WurthElektronik-61300511121/C6461551" TargetMode="External"/><Relationship Id="rId14" Type="http://schemas.openxmlformats.org/officeDocument/2006/relationships/hyperlink" Target="https://jlcpcb.com/partdetail/144388-CL05B104KP5NNNC/C133086" TargetMode="External"/><Relationship Id="rId22" Type="http://schemas.openxmlformats.org/officeDocument/2006/relationships/hyperlink" Target="https://jlcpcb.com/partdetail/VishayIntertech-SIS413DN_T1GE3/C145006" TargetMode="External"/><Relationship Id="rId27" Type="http://schemas.openxmlformats.org/officeDocument/2006/relationships/hyperlink" Target="https://jlcpcb.com/partdetail/YAGEO-RC1206FR071KL/C131398" TargetMode="External"/><Relationship Id="rId30" Type="http://schemas.openxmlformats.org/officeDocument/2006/relationships/hyperlink" Target="https://www.digikey.com/en/products/detail/samsung-electro-mechanics/CL05B104KP5NNNC/3886660" TargetMode="External"/><Relationship Id="rId35" Type="http://schemas.openxmlformats.org/officeDocument/2006/relationships/hyperlink" Target="https://www.digikey.com/en/products/detail/samsung-electro-mechanics/CL21A475KAQNNNE/3886902" TargetMode="External"/><Relationship Id="rId43" Type="http://schemas.openxmlformats.org/officeDocument/2006/relationships/hyperlink" Target="https://jlcpcb.com/partdetail/CUI-PJ002BH/C22359705" TargetMode="External"/><Relationship Id="rId48" Type="http://schemas.openxmlformats.org/officeDocument/2006/relationships/hyperlink" Target="https://www.digikey.com/en/products/detail/amphenol-cs-fci/10033526-N3212LF/4292074" TargetMode="External"/><Relationship Id="rId56" Type="http://schemas.openxmlformats.org/officeDocument/2006/relationships/hyperlink" Target="https://jlcpcb.com/partdetail/Shenzhen_JDTFuse-JFC12062100FS/C136354" TargetMode="External"/><Relationship Id="rId64" Type="http://schemas.openxmlformats.org/officeDocument/2006/relationships/hyperlink" Target="https://jlcpcb.com/partdetail/ROHMSemicon-RSX501LAM20TR/C253526" TargetMode="External"/><Relationship Id="rId69" Type="http://schemas.openxmlformats.org/officeDocument/2006/relationships/hyperlink" Target="https://www.digikey.sk/en/products/detail/rubycon/35ZLH680MEFC10X23/3563861" TargetMode="External"/><Relationship Id="rId8" Type="http://schemas.openxmlformats.org/officeDocument/2006/relationships/hyperlink" Target="https://www.digikey.com/en/products/detail/yageo/RC1206FR-077K5L/729079" TargetMode="External"/><Relationship Id="rId51" Type="http://schemas.openxmlformats.org/officeDocument/2006/relationships/hyperlink" Target="https://jlcpcb.com/partdetail/ECS-ECS_80_18_5PXTR/C312598" TargetMode="External"/><Relationship Id="rId3" Type="http://schemas.openxmlformats.org/officeDocument/2006/relationships/hyperlink" Target="https://www.digikey.com/en/products/detail/kemet/C1206C225M5RACTU/2215541" TargetMode="External"/><Relationship Id="rId12" Type="http://schemas.openxmlformats.org/officeDocument/2006/relationships/hyperlink" Target="https://jlcpcb.com/partdetail/STMicroelectronics-STM32F411CEU6/C60420" TargetMode="External"/><Relationship Id="rId17" Type="http://schemas.openxmlformats.org/officeDocument/2006/relationships/hyperlink" Target="https://jlcpcb.com/partdetail/WurthElektronik-61300311121/C2915006" TargetMode="External"/><Relationship Id="rId25" Type="http://schemas.openxmlformats.org/officeDocument/2006/relationships/hyperlink" Target="https://jlcpcb.com/partdetail/OmronElectronics-B3U1000PM/C2934715" TargetMode="External"/><Relationship Id="rId33" Type="http://schemas.openxmlformats.org/officeDocument/2006/relationships/hyperlink" Target="https://www.digikey.com/en/products/detail/panasonic-industry/ECA-1HM471/245044" TargetMode="External"/><Relationship Id="rId38" Type="http://schemas.openxmlformats.org/officeDocument/2006/relationships/hyperlink" Target="https://jlcpcb.com/partdetail/LiteOn-LTSTC190TBKT/C125096" TargetMode="External"/><Relationship Id="rId46" Type="http://schemas.openxmlformats.org/officeDocument/2006/relationships/hyperlink" Target="https://jlcpcb.com/partdetail/TexasInstruments-LM2575S_5_0NOPB/C2865532" TargetMode="External"/><Relationship Id="rId59" Type="http://schemas.openxmlformats.org/officeDocument/2006/relationships/hyperlink" Target="https://www.digikey.com/en/products/detail/stmicroelectronics/VNH7070ASTR/7313214?s=N4IgTCBcDaIGoDkASB2ADOgggZQCoCUQBdAXyA" TargetMode="External"/><Relationship Id="rId67" Type="http://schemas.openxmlformats.org/officeDocument/2006/relationships/hyperlink" Target="https://www.digikey.com/en/products/detail/panasonic-industry/ETQ-P5M330YFC/5357810" TargetMode="External"/><Relationship Id="rId20" Type="http://schemas.openxmlformats.org/officeDocument/2006/relationships/hyperlink" Target="https://jlcpcb.com/partdetail/STMicroelectronics-VNH7070ASTR/C2150622" TargetMode="External"/><Relationship Id="rId41" Type="http://schemas.openxmlformats.org/officeDocument/2006/relationships/hyperlink" Target="https://www.digikey.com/en/products/detail/broadcom-limited/HSMA-C190/637684" TargetMode="External"/><Relationship Id="rId54" Type="http://schemas.openxmlformats.org/officeDocument/2006/relationships/hyperlink" Target="https://jlcpcb.com/partdetail/2297-CL31B104KCFNNNE/C1945" TargetMode="External"/><Relationship Id="rId62" Type="http://schemas.openxmlformats.org/officeDocument/2006/relationships/hyperlink" Target="https://jlcpcb.com/partdetail/DIOTEC-2N3904/C3201586" TargetMode="External"/><Relationship Id="rId70" Type="http://schemas.openxmlformats.org/officeDocument/2006/relationships/printerSettings" Target="../printerSettings/printerSettings1.bin"/><Relationship Id="rId1" Type="http://schemas.openxmlformats.org/officeDocument/2006/relationships/hyperlink" Target="https://www.digikey.com/en/products/detail/same-sky-formerly-cui-devices/PJ-002B/96965" TargetMode="External"/><Relationship Id="rId6" Type="http://schemas.openxmlformats.org/officeDocument/2006/relationships/hyperlink" Target="https://www.digikey.com/en/products/detail/w%C3%BCrth-elektronik/61300511121/4846831" TargetMode="External"/><Relationship Id="rId15" Type="http://schemas.openxmlformats.org/officeDocument/2006/relationships/hyperlink" Target="https://jlcpcb.com/partdetail/PANASONIC-ECA1HM471/C713175" TargetMode="External"/><Relationship Id="rId23" Type="http://schemas.openxmlformats.org/officeDocument/2006/relationships/hyperlink" Target="https://jlcpcb.com/partdetail/YAGEO-RC1206FR07100KL/C137393" TargetMode="External"/><Relationship Id="rId28" Type="http://schemas.openxmlformats.org/officeDocument/2006/relationships/hyperlink" Target="https://jlcpcb.com/partdetail/YAGEO-RC1206FR073K3L/C137292" TargetMode="External"/><Relationship Id="rId36" Type="http://schemas.openxmlformats.org/officeDocument/2006/relationships/hyperlink" Target="https://jlcpcb.com/partdetail/2131-CL21A475KAQNNNE/C1779" TargetMode="External"/><Relationship Id="rId49" Type="http://schemas.openxmlformats.org/officeDocument/2006/relationships/hyperlink" Target="https://jlcpcb.com/partdetail/AmphenolICC-10033526N3212LF/C428494" TargetMode="External"/><Relationship Id="rId57" Type="http://schemas.openxmlformats.org/officeDocument/2006/relationships/hyperlink" Target="https://www.digikey.at/en/products/detail/rubycon/25YXJ330M8X11-5/3563355" TargetMode="External"/><Relationship Id="rId10" Type="http://schemas.openxmlformats.org/officeDocument/2006/relationships/hyperlink" Target="https://www.digikey.com/en/products/detail/vishay-siliconix/SIS413DN-T1-GE3/4142142" TargetMode="External"/><Relationship Id="rId31" Type="http://schemas.openxmlformats.org/officeDocument/2006/relationships/hyperlink" Target="https://www.digikey.com/en/products/detail/samsung-electro-mechanics/CL05B104KP5NNNC/3886660" TargetMode="External"/><Relationship Id="rId44" Type="http://schemas.openxmlformats.org/officeDocument/2006/relationships/hyperlink" Target="https://jlcpcb.com/partdetail/TexasInstruments-LM2596T_3_3NOPB/C1355424" TargetMode="External"/><Relationship Id="rId52" Type="http://schemas.openxmlformats.org/officeDocument/2006/relationships/hyperlink" Target="https://jlcpcb.com/partdetail/YAGEO-RC1206FR077K5L/C137232" TargetMode="External"/><Relationship Id="rId60" Type="http://schemas.openxmlformats.org/officeDocument/2006/relationships/hyperlink" Target="https://www.digikey.com/en/products/detail/texas-instruments/LM2596T-3-3-NOPB/363707" TargetMode="External"/><Relationship Id="rId65" Type="http://schemas.openxmlformats.org/officeDocument/2006/relationships/hyperlink" Target="https://www.digikey.com/en/products/detail/w%C3%BCrth-elektronik/7447709331/1994059" TargetMode="External"/><Relationship Id="rId4" Type="http://schemas.openxmlformats.org/officeDocument/2006/relationships/hyperlink" Target="https://www.digikey.com/en/products/detail/keystone-electronics/5019/3907343" TargetMode="External"/><Relationship Id="rId9" Type="http://schemas.openxmlformats.org/officeDocument/2006/relationships/hyperlink" Target="https://www.amazon.com/Guy-Tech-Adapter-Compatible-Magnetics-WSU075-1000-R/dp/B0FH6N6MBS" TargetMode="External"/><Relationship Id="rId13" Type="http://schemas.openxmlformats.org/officeDocument/2006/relationships/hyperlink" Target="https://jlcpcb.com/partdetail/948963-GRM31CR61A107MEA8L/C883598" TargetMode="External"/><Relationship Id="rId18" Type="http://schemas.openxmlformats.org/officeDocument/2006/relationships/hyperlink" Target="https://jlcpcb.com/partdetail/WurthElektronik-61300611121/C5444523" TargetMode="External"/><Relationship Id="rId39" Type="http://schemas.openxmlformats.org/officeDocument/2006/relationships/hyperlink" Target="https://www.digikey.com/en/products/detail/stmicroelectronics/1N5822/1037332" TargetMode="External"/><Relationship Id="rId34" Type="http://schemas.openxmlformats.org/officeDocument/2006/relationships/hyperlink" Target="https://jlcpcb.com/partdetail/KEMET-C1206C225K5RACTU/C2167253" TargetMode="External"/><Relationship Id="rId50" Type="http://schemas.openxmlformats.org/officeDocument/2006/relationships/hyperlink" Target="https://www.digikey.com/en/products/detail/abracon-llc/ABLS-LR-8-000MHZ-T/2184116" TargetMode="External"/><Relationship Id="rId55" Type="http://schemas.openxmlformats.org/officeDocument/2006/relationships/hyperlink" Target="https://jlcpcb.com/partdetail/2160-0805CG270J500NT/C180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6"/>
  <sheetViews>
    <sheetView tabSelected="1" zoomScale="101" zoomScaleNormal="61" workbookViewId="0">
      <pane xSplit="1" topLeftCell="H4" activePane="topRight" state="frozen"/>
      <selection pane="topRight" activeCell="J17" sqref="J17"/>
    </sheetView>
  </sheetViews>
  <sheetFormatPr defaultRowHeight="14.1"/>
  <cols>
    <col min="1" max="1" width="28" customWidth="1"/>
    <col min="2" max="2" width="10" customWidth="1"/>
    <col min="3" max="3" width="24" customWidth="1"/>
    <col min="4" max="4" width="34" customWidth="1"/>
    <col min="5" max="5" width="24" customWidth="1"/>
    <col min="6" max="6" width="28" customWidth="1"/>
    <col min="7" max="7" width="24" customWidth="1"/>
    <col min="8" max="8" width="16" customWidth="1"/>
    <col min="9" max="9" width="22" customWidth="1"/>
    <col min="10" max="10" width="42" customWidth="1"/>
    <col min="11" max="11" width="54" customWidth="1"/>
    <col min="12" max="12" width="62.875" bestFit="1" customWidth="1"/>
    <col min="13" max="13" width="13" customWidth="1"/>
  </cols>
  <sheetData>
    <row r="1" spans="1:15" ht="18.39999999999999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65.25" customHeight="1">
      <c r="A2" s="2" t="s">
        <v>15</v>
      </c>
      <c r="B2" s="22">
        <v>10</v>
      </c>
      <c r="C2" s="20" t="s">
        <v>16</v>
      </c>
      <c r="D2" s="21" t="s">
        <v>17</v>
      </c>
      <c r="E2" s="23" t="s">
        <v>18</v>
      </c>
      <c r="F2" s="6">
        <v>5019</v>
      </c>
      <c r="G2" s="6" t="s">
        <v>19</v>
      </c>
      <c r="H2" s="9" t="s">
        <v>20</v>
      </c>
      <c r="I2" s="6" t="s">
        <v>21</v>
      </c>
      <c r="J2" s="7" t="s">
        <v>22</v>
      </c>
      <c r="K2" s="6" t="s">
        <v>23</v>
      </c>
      <c r="L2" s="29" t="s">
        <v>24</v>
      </c>
      <c r="M2" s="30" t="b">
        <v>1</v>
      </c>
      <c r="N2" s="30" t="b">
        <v>1</v>
      </c>
      <c r="O2" s="8"/>
    </row>
    <row r="3" spans="1:15" ht="50.25">
      <c r="A3" s="2" t="s">
        <v>25</v>
      </c>
      <c r="B3" s="22">
        <v>2</v>
      </c>
      <c r="C3" s="20" t="s">
        <v>26</v>
      </c>
      <c r="D3" s="21" t="s">
        <v>27</v>
      </c>
      <c r="E3" s="24" t="s">
        <v>28</v>
      </c>
      <c r="F3" s="18" t="s">
        <v>29</v>
      </c>
      <c r="G3" s="18" t="s">
        <v>30</v>
      </c>
      <c r="H3" s="9" t="s">
        <v>20</v>
      </c>
      <c r="I3" s="18" t="s">
        <v>31</v>
      </c>
      <c r="J3" s="7" t="s">
        <v>32</v>
      </c>
      <c r="K3" s="6" t="s">
        <v>33</v>
      </c>
      <c r="L3" s="29" t="s">
        <v>34</v>
      </c>
      <c r="M3" s="30" t="b">
        <v>1</v>
      </c>
      <c r="N3" s="30" t="b">
        <v>1</v>
      </c>
      <c r="O3" s="8"/>
    </row>
    <row r="4" spans="1:15" ht="50.25">
      <c r="A4" s="2" t="s">
        <v>35</v>
      </c>
      <c r="B4" s="22">
        <v>3</v>
      </c>
      <c r="C4" s="20" t="s">
        <v>36</v>
      </c>
      <c r="D4" s="21" t="s">
        <v>37</v>
      </c>
      <c r="E4" s="24" t="s">
        <v>38</v>
      </c>
      <c r="F4" s="18" t="s">
        <v>39</v>
      </c>
      <c r="G4" s="18" t="s">
        <v>40</v>
      </c>
      <c r="H4" s="18" t="s">
        <v>20</v>
      </c>
      <c r="I4" s="18" t="s">
        <v>41</v>
      </c>
      <c r="J4" s="7" t="s">
        <v>42</v>
      </c>
      <c r="K4" s="6" t="s">
        <v>43</v>
      </c>
      <c r="L4" s="29" t="s">
        <v>44</v>
      </c>
      <c r="M4" s="30" t="b">
        <v>1</v>
      </c>
      <c r="N4" s="30" t="b">
        <v>1</v>
      </c>
      <c r="O4" s="8"/>
    </row>
    <row r="5" spans="1:15" ht="33.75">
      <c r="A5" s="2" t="s">
        <v>45</v>
      </c>
      <c r="B5" s="22">
        <v>1</v>
      </c>
      <c r="C5" s="20" t="s">
        <v>46</v>
      </c>
      <c r="D5" s="21" t="s">
        <v>47</v>
      </c>
      <c r="E5" s="31" t="s">
        <v>48</v>
      </c>
      <c r="F5" s="32" t="s">
        <v>49</v>
      </c>
      <c r="G5" s="32" t="s">
        <v>30</v>
      </c>
      <c r="H5" s="32" t="s">
        <v>20</v>
      </c>
      <c r="I5" s="32" t="s">
        <v>50</v>
      </c>
      <c r="J5" s="34" t="s">
        <v>51</v>
      </c>
      <c r="K5" s="6" t="s">
        <v>52</v>
      </c>
      <c r="L5" s="29" t="s">
        <v>53</v>
      </c>
      <c r="M5" s="30" t="b">
        <v>1</v>
      </c>
      <c r="N5" s="30" t="b">
        <v>1</v>
      </c>
      <c r="O5" s="40"/>
    </row>
    <row r="6" spans="1:15" ht="50.25">
      <c r="A6" s="2" t="s">
        <v>54</v>
      </c>
      <c r="B6" s="22">
        <v>2</v>
      </c>
      <c r="C6" s="20" t="s">
        <v>36</v>
      </c>
      <c r="D6" s="21" t="s">
        <v>55</v>
      </c>
      <c r="E6" s="25" t="s">
        <v>56</v>
      </c>
      <c r="F6" s="19" t="s">
        <v>57</v>
      </c>
      <c r="G6" s="19" t="s">
        <v>58</v>
      </c>
      <c r="H6" s="19" t="s">
        <v>20</v>
      </c>
      <c r="I6" s="19" t="s">
        <v>59</v>
      </c>
      <c r="J6" s="7" t="s">
        <v>60</v>
      </c>
      <c r="K6" s="6" t="s">
        <v>61</v>
      </c>
      <c r="L6" s="29" t="s">
        <v>62</v>
      </c>
      <c r="M6" s="30" t="b">
        <v>1</v>
      </c>
      <c r="N6" s="30" t="b">
        <v>1</v>
      </c>
      <c r="O6" s="8"/>
    </row>
    <row r="7" spans="1:15" ht="50.25">
      <c r="A7" s="2" t="s">
        <v>63</v>
      </c>
      <c r="B7" s="3">
        <v>9</v>
      </c>
      <c r="C7" s="26" t="s">
        <v>36</v>
      </c>
      <c r="D7" s="27" t="s">
        <v>55</v>
      </c>
      <c r="E7" s="6" t="s">
        <v>64</v>
      </c>
      <c r="F7" s="6" t="s">
        <v>57</v>
      </c>
      <c r="G7" s="6" t="s">
        <v>58</v>
      </c>
      <c r="H7" s="6" t="s">
        <v>20</v>
      </c>
      <c r="I7" s="6" t="s">
        <v>59</v>
      </c>
      <c r="J7" s="7" t="s">
        <v>60</v>
      </c>
      <c r="K7" s="6" t="s">
        <v>65</v>
      </c>
      <c r="L7" s="29" t="s">
        <v>66</v>
      </c>
      <c r="M7" s="30" t="b">
        <v>1</v>
      </c>
      <c r="N7" s="30" t="b">
        <v>1</v>
      </c>
      <c r="O7" s="29"/>
    </row>
    <row r="8" spans="1:15" ht="50.25">
      <c r="A8" s="2" t="s">
        <v>67</v>
      </c>
      <c r="B8" s="3">
        <v>1</v>
      </c>
      <c r="C8" s="4" t="s">
        <v>36</v>
      </c>
      <c r="D8" s="5" t="s">
        <v>68</v>
      </c>
      <c r="E8" s="6" t="s">
        <v>64</v>
      </c>
      <c r="F8" s="6" t="s">
        <v>57</v>
      </c>
      <c r="G8" s="6" t="s">
        <v>58</v>
      </c>
      <c r="H8" s="6" t="s">
        <v>20</v>
      </c>
      <c r="I8" s="6" t="s">
        <v>59</v>
      </c>
      <c r="J8" s="7" t="s">
        <v>60</v>
      </c>
      <c r="K8" s="6" t="s">
        <v>65</v>
      </c>
      <c r="L8" s="29" t="s">
        <v>69</v>
      </c>
      <c r="M8" s="30" t="b">
        <v>1</v>
      </c>
      <c r="N8" s="30" t="b">
        <v>1</v>
      </c>
      <c r="O8" s="8"/>
    </row>
    <row r="9" spans="1:15" ht="33.75">
      <c r="A9" s="2" t="s">
        <v>70</v>
      </c>
      <c r="B9" s="3">
        <v>1</v>
      </c>
      <c r="C9" s="4" t="s">
        <v>46</v>
      </c>
      <c r="D9" s="5" t="s">
        <v>71</v>
      </c>
      <c r="E9" s="6" t="s">
        <v>72</v>
      </c>
      <c r="F9" s="6" t="s">
        <v>73</v>
      </c>
      <c r="G9" s="6" t="s">
        <v>74</v>
      </c>
      <c r="H9" s="6" t="s">
        <v>20</v>
      </c>
      <c r="I9" s="6" t="s">
        <v>75</v>
      </c>
      <c r="J9" s="7" t="s">
        <v>76</v>
      </c>
      <c r="K9" s="6" t="s">
        <v>77</v>
      </c>
      <c r="L9" s="29" t="s">
        <v>78</v>
      </c>
      <c r="M9" s="30" t="b">
        <v>1</v>
      </c>
      <c r="N9" s="30" t="b">
        <v>1</v>
      </c>
      <c r="O9" s="8"/>
    </row>
    <row r="10" spans="1:15" ht="33.75">
      <c r="A10" s="2" t="s">
        <v>79</v>
      </c>
      <c r="B10" s="3">
        <v>2</v>
      </c>
      <c r="C10" s="4" t="s">
        <v>36</v>
      </c>
      <c r="D10" s="5" t="s">
        <v>80</v>
      </c>
      <c r="E10" s="6" t="s">
        <v>81</v>
      </c>
      <c r="F10" s="6" t="s">
        <v>82</v>
      </c>
      <c r="G10" s="9" t="s">
        <v>83</v>
      </c>
      <c r="H10" s="6" t="s">
        <v>20</v>
      </c>
      <c r="I10" s="6" t="s">
        <v>84</v>
      </c>
      <c r="J10" s="7" t="s">
        <v>85</v>
      </c>
      <c r="K10" s="6" t="s">
        <v>86</v>
      </c>
      <c r="L10" s="29" t="s">
        <v>87</v>
      </c>
      <c r="M10" s="30" t="b">
        <v>1</v>
      </c>
      <c r="N10" s="30" t="b">
        <v>1</v>
      </c>
      <c r="O10" s="29"/>
    </row>
    <row r="11" spans="1:15" ht="33.75">
      <c r="A11" s="2" t="s">
        <v>88</v>
      </c>
      <c r="B11" s="3">
        <v>1</v>
      </c>
      <c r="C11" s="4" t="s">
        <v>36</v>
      </c>
      <c r="D11" s="5" t="s">
        <v>89</v>
      </c>
      <c r="E11" s="6" t="s">
        <v>90</v>
      </c>
      <c r="F11" s="6" t="s">
        <v>91</v>
      </c>
      <c r="G11" s="9" t="s">
        <v>83</v>
      </c>
      <c r="H11" s="6" t="s">
        <v>20</v>
      </c>
      <c r="I11" s="9" t="s">
        <v>92</v>
      </c>
      <c r="J11" s="7" t="s">
        <v>93</v>
      </c>
      <c r="K11" s="6" t="s">
        <v>94</v>
      </c>
      <c r="L11" s="29" t="s">
        <v>95</v>
      </c>
      <c r="M11" s="30" t="b">
        <v>1</v>
      </c>
      <c r="N11" s="30" t="b">
        <v>1</v>
      </c>
      <c r="O11" s="8"/>
    </row>
    <row r="12" spans="1:15" ht="50.25">
      <c r="A12" s="2" t="s">
        <v>96</v>
      </c>
      <c r="B12" s="3">
        <v>1</v>
      </c>
      <c r="C12" s="4" t="s">
        <v>36</v>
      </c>
      <c r="D12" s="5" t="s">
        <v>97</v>
      </c>
      <c r="E12" s="6" t="s">
        <v>98</v>
      </c>
      <c r="F12" s="6" t="s">
        <v>99</v>
      </c>
      <c r="G12" s="6" t="s">
        <v>58</v>
      </c>
      <c r="H12" s="6" t="s">
        <v>20</v>
      </c>
      <c r="I12" s="6" t="s">
        <v>100</v>
      </c>
      <c r="J12" s="7" t="s">
        <v>101</v>
      </c>
      <c r="K12" s="6" t="s">
        <v>102</v>
      </c>
      <c r="L12" s="29" t="s">
        <v>103</v>
      </c>
      <c r="M12" s="30" t="b">
        <v>1</v>
      </c>
      <c r="N12" s="30" t="b">
        <v>1</v>
      </c>
      <c r="O12" s="8"/>
    </row>
    <row r="13" spans="1:15" ht="33.75">
      <c r="A13" s="2" t="s">
        <v>104</v>
      </c>
      <c r="B13" s="3">
        <v>1</v>
      </c>
      <c r="C13" s="4" t="s">
        <v>105</v>
      </c>
      <c r="D13" s="38" t="s">
        <v>106</v>
      </c>
      <c r="E13" s="18" t="s">
        <v>107</v>
      </c>
      <c r="F13" s="18" t="s">
        <v>108</v>
      </c>
      <c r="G13" s="18" t="s">
        <v>109</v>
      </c>
      <c r="H13" s="18" t="s">
        <v>20</v>
      </c>
      <c r="I13" s="18" t="s">
        <v>110</v>
      </c>
      <c r="J13" s="7" t="s">
        <v>111</v>
      </c>
      <c r="K13" s="18" t="s">
        <v>112</v>
      </c>
      <c r="L13" s="29" t="s">
        <v>113</v>
      </c>
      <c r="M13" s="30" t="b">
        <v>1</v>
      </c>
      <c r="N13" s="30" t="b">
        <v>1</v>
      </c>
      <c r="O13" s="8"/>
    </row>
    <row r="14" spans="1:15" ht="33.75">
      <c r="A14" s="2" t="s">
        <v>114</v>
      </c>
      <c r="B14" s="3">
        <v>1</v>
      </c>
      <c r="C14" s="50" t="s">
        <v>115</v>
      </c>
      <c r="D14" s="21" t="s">
        <v>116</v>
      </c>
      <c r="E14" s="32" t="s">
        <v>117</v>
      </c>
      <c r="F14" s="32" t="s">
        <v>118</v>
      </c>
      <c r="G14" s="32" t="s">
        <v>119</v>
      </c>
      <c r="H14" s="32" t="s">
        <v>20</v>
      </c>
      <c r="I14" s="32" t="s">
        <v>120</v>
      </c>
      <c r="J14" s="51" t="s">
        <v>121</v>
      </c>
      <c r="K14" s="36" t="s">
        <v>122</v>
      </c>
      <c r="L14" s="29" t="s">
        <v>123</v>
      </c>
      <c r="M14" s="30" t="b">
        <v>1</v>
      </c>
      <c r="N14" s="30" t="b">
        <v>1</v>
      </c>
      <c r="O14" s="8"/>
    </row>
    <row r="15" spans="1:15" ht="33.75">
      <c r="A15" s="2" t="s">
        <v>124</v>
      </c>
      <c r="B15" s="3">
        <v>1</v>
      </c>
      <c r="C15" s="49" t="s">
        <v>115</v>
      </c>
      <c r="D15" s="27" t="s">
        <v>125</v>
      </c>
      <c r="E15" s="19" t="s">
        <v>126</v>
      </c>
      <c r="F15" s="19" t="s">
        <v>127</v>
      </c>
      <c r="G15" s="19" t="s">
        <v>128</v>
      </c>
      <c r="H15" s="19" t="s">
        <v>20</v>
      </c>
      <c r="I15" s="19" t="s">
        <v>129</v>
      </c>
      <c r="J15" s="7" t="s">
        <v>130</v>
      </c>
      <c r="K15" s="19" t="s">
        <v>131</v>
      </c>
      <c r="L15" s="29" t="s">
        <v>132</v>
      </c>
      <c r="M15" s="30" t="b">
        <v>1</v>
      </c>
      <c r="N15" s="30" t="b">
        <v>1</v>
      </c>
      <c r="O15" s="8"/>
    </row>
    <row r="16" spans="1:15" ht="33.75">
      <c r="A16" s="2" t="s">
        <v>133</v>
      </c>
      <c r="B16" s="3">
        <v>1</v>
      </c>
      <c r="C16" s="37" t="s">
        <v>105</v>
      </c>
      <c r="D16" s="38" t="s">
        <v>134</v>
      </c>
      <c r="E16" s="18" t="s">
        <v>135</v>
      </c>
      <c r="F16" s="18" t="s">
        <v>136</v>
      </c>
      <c r="G16" s="18" t="s">
        <v>137</v>
      </c>
      <c r="H16" s="18" t="s">
        <v>20</v>
      </c>
      <c r="I16" s="18" t="s">
        <v>138</v>
      </c>
      <c r="J16" s="7" t="s">
        <v>139</v>
      </c>
      <c r="K16" s="6" t="s">
        <v>140</v>
      </c>
      <c r="L16" s="29" t="s">
        <v>141</v>
      </c>
      <c r="M16" s="30" t="b">
        <v>1</v>
      </c>
      <c r="N16" s="30" t="b">
        <v>1</v>
      </c>
      <c r="O16" s="8"/>
    </row>
    <row r="17" spans="1:15" ht="50.25">
      <c r="A17" s="2" t="s">
        <v>142</v>
      </c>
      <c r="B17" s="22">
        <v>1</v>
      </c>
      <c r="C17" s="20" t="s">
        <v>143</v>
      </c>
      <c r="D17" s="45" t="s">
        <v>144</v>
      </c>
      <c r="E17" s="32" t="s">
        <v>145</v>
      </c>
      <c r="F17" s="36" t="s">
        <v>146</v>
      </c>
      <c r="G17" s="32" t="s">
        <v>147</v>
      </c>
      <c r="H17" s="36" t="s">
        <v>20</v>
      </c>
      <c r="I17" s="36" t="s">
        <v>148</v>
      </c>
      <c r="J17" s="33" t="s">
        <v>149</v>
      </c>
      <c r="K17" s="6" t="s">
        <v>150</v>
      </c>
      <c r="L17" s="29" t="s">
        <v>151</v>
      </c>
      <c r="M17" s="30" t="b">
        <v>1</v>
      </c>
      <c r="N17" s="30" t="b">
        <v>1</v>
      </c>
      <c r="O17" s="8"/>
    </row>
    <row r="18" spans="1:15" ht="33.75">
      <c r="A18" s="2" t="s">
        <v>152</v>
      </c>
      <c r="B18" s="3">
        <v>1</v>
      </c>
      <c r="C18" s="43" t="s">
        <v>153</v>
      </c>
      <c r="D18" s="21" t="s">
        <v>154</v>
      </c>
      <c r="E18" s="44" t="s">
        <v>155</v>
      </c>
      <c r="F18" s="39" t="s">
        <v>156</v>
      </c>
      <c r="G18" s="39" t="s">
        <v>157</v>
      </c>
      <c r="H18" s="39" t="s">
        <v>158</v>
      </c>
      <c r="I18" s="35" t="s">
        <v>159</v>
      </c>
      <c r="J18" s="7" t="s">
        <v>160</v>
      </c>
      <c r="K18" s="6" t="s">
        <v>161</v>
      </c>
      <c r="L18" s="29" t="s">
        <v>162</v>
      </c>
      <c r="M18" s="30" t="b">
        <v>1</v>
      </c>
      <c r="N18" s="30" t="b">
        <v>1</v>
      </c>
      <c r="O18" s="29"/>
    </row>
    <row r="19" spans="1:15" ht="33.75">
      <c r="A19" s="2" t="s">
        <v>163</v>
      </c>
      <c r="B19" s="22">
        <v>1</v>
      </c>
      <c r="C19" s="46" t="s">
        <v>164</v>
      </c>
      <c r="D19" s="21" t="s">
        <v>165</v>
      </c>
      <c r="E19" s="31" t="s">
        <v>166</v>
      </c>
      <c r="F19" s="36" t="s">
        <v>167</v>
      </c>
      <c r="G19" s="42" t="s">
        <v>168</v>
      </c>
      <c r="H19" s="41" t="s">
        <v>20</v>
      </c>
      <c r="I19" s="36" t="s">
        <v>169</v>
      </c>
      <c r="J19" s="33" t="s">
        <v>170</v>
      </c>
      <c r="K19" s="6" t="s">
        <v>171</v>
      </c>
      <c r="L19" s="29" t="s">
        <v>172</v>
      </c>
      <c r="M19" s="30" t="b">
        <v>1</v>
      </c>
      <c r="N19" s="30" t="b">
        <v>1</v>
      </c>
      <c r="O19" s="8"/>
    </row>
    <row r="20" spans="1:15" ht="33.75">
      <c r="A20" s="2" t="s">
        <v>173</v>
      </c>
      <c r="B20" s="3">
        <v>1</v>
      </c>
      <c r="C20" s="26" t="s">
        <v>174</v>
      </c>
      <c r="D20" s="27" t="s">
        <v>175</v>
      </c>
      <c r="E20" s="19" t="s">
        <v>176</v>
      </c>
      <c r="F20" s="19" t="s">
        <v>177</v>
      </c>
      <c r="G20" s="19" t="s">
        <v>168</v>
      </c>
      <c r="H20" s="19" t="s">
        <v>20</v>
      </c>
      <c r="I20" s="19" t="s">
        <v>178</v>
      </c>
      <c r="J20" s="7" t="s">
        <v>179</v>
      </c>
      <c r="K20" s="6" t="s">
        <v>180</v>
      </c>
      <c r="L20" s="29" t="s">
        <v>181</v>
      </c>
      <c r="M20" s="30" t="b">
        <v>1</v>
      </c>
      <c r="N20" s="30" t="b">
        <v>1</v>
      </c>
      <c r="O20" s="8"/>
    </row>
    <row r="21" spans="1:15" ht="33.75">
      <c r="A21" s="2" t="s">
        <v>182</v>
      </c>
      <c r="B21" s="3">
        <v>1</v>
      </c>
      <c r="C21" s="37" t="s">
        <v>183</v>
      </c>
      <c r="D21" s="38" t="s">
        <v>184</v>
      </c>
      <c r="E21" s="18" t="s">
        <v>185</v>
      </c>
      <c r="F21" s="18" t="s">
        <v>185</v>
      </c>
      <c r="G21" s="18" t="s">
        <v>128</v>
      </c>
      <c r="H21" s="18" t="s">
        <v>20</v>
      </c>
      <c r="I21" s="18" t="s">
        <v>186</v>
      </c>
      <c r="J21" s="7" t="s">
        <v>187</v>
      </c>
      <c r="K21" s="18" t="s">
        <v>188</v>
      </c>
      <c r="L21" s="29" t="s">
        <v>189</v>
      </c>
      <c r="M21" s="30" t="b">
        <v>1</v>
      </c>
      <c r="N21" s="30" t="b">
        <v>1</v>
      </c>
      <c r="O21" s="8"/>
    </row>
    <row r="22" spans="1:15" ht="50.25">
      <c r="A22" s="2" t="s">
        <v>190</v>
      </c>
      <c r="B22" s="22">
        <v>1</v>
      </c>
      <c r="C22" s="20" t="s">
        <v>191</v>
      </c>
      <c r="D22" s="21" t="s">
        <v>192</v>
      </c>
      <c r="E22" s="32" t="s">
        <v>193</v>
      </c>
      <c r="F22" s="32" t="s">
        <v>194</v>
      </c>
      <c r="G22" s="32" t="s">
        <v>74</v>
      </c>
      <c r="H22" s="32" t="s">
        <v>20</v>
      </c>
      <c r="I22" s="32" t="s">
        <v>195</v>
      </c>
      <c r="J22" s="51" t="s">
        <v>196</v>
      </c>
      <c r="K22" s="32" t="s">
        <v>197</v>
      </c>
      <c r="L22" s="29" t="s">
        <v>198</v>
      </c>
      <c r="M22" s="30" t="b">
        <v>1</v>
      </c>
      <c r="N22" s="30" t="b">
        <v>1</v>
      </c>
      <c r="O22" s="8"/>
    </row>
    <row r="23" spans="1:15" ht="33.75">
      <c r="A23" s="2" t="s">
        <v>199</v>
      </c>
      <c r="B23" s="3">
        <v>1</v>
      </c>
      <c r="C23" s="26" t="s">
        <v>200</v>
      </c>
      <c r="D23" s="27" t="s">
        <v>201</v>
      </c>
      <c r="E23" s="19" t="s">
        <v>202</v>
      </c>
      <c r="F23" s="19" t="s">
        <v>203</v>
      </c>
      <c r="G23" s="19" t="s">
        <v>204</v>
      </c>
      <c r="H23" s="19" t="s">
        <v>20</v>
      </c>
      <c r="I23" s="19" t="s">
        <v>205</v>
      </c>
      <c r="J23" s="7" t="s">
        <v>206</v>
      </c>
      <c r="K23" s="19" t="s">
        <v>207</v>
      </c>
      <c r="L23" s="29" t="s">
        <v>208</v>
      </c>
      <c r="M23" s="30" t="b">
        <v>1</v>
      </c>
      <c r="N23" s="30" t="b">
        <v>1</v>
      </c>
      <c r="O23" s="8"/>
    </row>
    <row r="24" spans="1:15" ht="33.75">
      <c r="A24" s="2" t="s">
        <v>209</v>
      </c>
      <c r="B24" s="3">
        <v>1</v>
      </c>
      <c r="C24" s="4" t="s">
        <v>210</v>
      </c>
      <c r="D24" s="5" t="s">
        <v>211</v>
      </c>
      <c r="E24" s="6" t="s">
        <v>212</v>
      </c>
      <c r="F24" s="6" t="s">
        <v>213</v>
      </c>
      <c r="G24" s="6" t="s">
        <v>204</v>
      </c>
      <c r="H24" s="6" t="s">
        <v>20</v>
      </c>
      <c r="I24" s="6" t="s">
        <v>214</v>
      </c>
      <c r="J24" s="6" t="s">
        <v>215</v>
      </c>
      <c r="K24" s="6" t="s">
        <v>216</v>
      </c>
      <c r="L24" s="29" t="s">
        <v>217</v>
      </c>
      <c r="M24" s="30" t="b">
        <v>1</v>
      </c>
      <c r="N24" s="30" t="b">
        <v>1</v>
      </c>
      <c r="O24" s="8"/>
    </row>
    <row r="25" spans="1:15" ht="33.75">
      <c r="A25" s="2" t="s">
        <v>218</v>
      </c>
      <c r="B25" s="3">
        <v>3</v>
      </c>
      <c r="C25" s="4" t="s">
        <v>210</v>
      </c>
      <c r="D25" s="5" t="s">
        <v>219</v>
      </c>
      <c r="E25" s="6" t="s">
        <v>220</v>
      </c>
      <c r="F25" s="6">
        <v>61300611121</v>
      </c>
      <c r="G25" s="6" t="s">
        <v>204</v>
      </c>
      <c r="H25" s="6" t="s">
        <v>20</v>
      </c>
      <c r="I25" s="6" t="s">
        <v>221</v>
      </c>
      <c r="J25" s="9" t="s">
        <v>222</v>
      </c>
      <c r="K25" s="6" t="s">
        <v>223</v>
      </c>
      <c r="L25" s="29" t="s">
        <v>224</v>
      </c>
      <c r="M25" s="30" t="b">
        <v>1</v>
      </c>
      <c r="N25" s="30" t="b">
        <v>1</v>
      </c>
      <c r="O25" s="8"/>
    </row>
    <row r="26" spans="1:15" ht="33.75">
      <c r="A26" s="2" t="s">
        <v>225</v>
      </c>
      <c r="B26" s="3">
        <v>2</v>
      </c>
      <c r="C26" s="37" t="s">
        <v>226</v>
      </c>
      <c r="D26" s="38" t="s">
        <v>227</v>
      </c>
      <c r="E26" s="18" t="s">
        <v>228</v>
      </c>
      <c r="F26" s="18">
        <v>61300511121</v>
      </c>
      <c r="G26" s="9" t="s">
        <v>229</v>
      </c>
      <c r="H26" s="18" t="s">
        <v>20</v>
      </c>
      <c r="I26" s="9" t="s">
        <v>230</v>
      </c>
      <c r="J26" s="7" t="s">
        <v>231</v>
      </c>
      <c r="K26" s="6" t="s">
        <v>232</v>
      </c>
      <c r="L26" s="29" t="s">
        <v>233</v>
      </c>
      <c r="M26" s="30" t="b">
        <v>1</v>
      </c>
      <c r="N26" s="30" t="b">
        <v>1</v>
      </c>
      <c r="O26" s="8"/>
    </row>
    <row r="27" spans="1:15" ht="66.75">
      <c r="A27" s="2" t="s">
        <v>234</v>
      </c>
      <c r="B27" s="22">
        <v>2</v>
      </c>
      <c r="C27" s="20" t="s">
        <v>235</v>
      </c>
      <c r="D27" s="21" t="s">
        <v>236</v>
      </c>
      <c r="E27" s="31" t="s">
        <v>237</v>
      </c>
      <c r="F27" s="32" t="s">
        <v>238</v>
      </c>
      <c r="G27" s="32" t="s">
        <v>128</v>
      </c>
      <c r="H27" s="32" t="s">
        <v>20</v>
      </c>
      <c r="I27" s="32" t="s">
        <v>239</v>
      </c>
      <c r="J27" s="33" t="s">
        <v>240</v>
      </c>
      <c r="K27" s="6" t="s">
        <v>241</v>
      </c>
      <c r="L27" s="29" t="s">
        <v>242</v>
      </c>
      <c r="M27" s="30" t="b">
        <v>1</v>
      </c>
      <c r="N27" s="30" t="b">
        <v>1</v>
      </c>
      <c r="O27" s="8"/>
    </row>
    <row r="28" spans="1:15" ht="33.75">
      <c r="A28" s="2" t="s">
        <v>243</v>
      </c>
      <c r="B28" s="3">
        <v>1</v>
      </c>
      <c r="C28" s="26" t="str">
        <f t="shared" ref="C28:J28" si="0">C25</f>
        <v>Male header</v>
      </c>
      <c r="D28" s="27" t="str">
        <f t="shared" si="0"/>
        <v>6-position, 2.54mm pitch, vertical, through-hole, unshrouded</v>
      </c>
      <c r="E28" s="19" t="str">
        <f t="shared" si="0"/>
        <v>1x06 / 2.54mm THT</v>
      </c>
      <c r="F28" s="19">
        <f t="shared" si="0"/>
        <v>61300611121</v>
      </c>
      <c r="G28" s="19" t="str">
        <f t="shared" si="0"/>
        <v>Wurth Elektronik</v>
      </c>
      <c r="H28" s="19" t="str">
        <f t="shared" si="0"/>
        <v>DigiKey</v>
      </c>
      <c r="I28" s="19" t="str">
        <f t="shared" si="0"/>
        <v>732-5319-ND</v>
      </c>
      <c r="J28" s="6" t="str">
        <f t="shared" si="0"/>
        <v>https://www.digikey.com/en/products/detail/w%C3%BCrth-elektronik/61300611121/4846833</v>
      </c>
      <c r="K28" s="6" t="s">
        <v>244</v>
      </c>
      <c r="L28" s="29" t="s">
        <v>224</v>
      </c>
      <c r="M28" s="30" t="b">
        <v>1</v>
      </c>
      <c r="N28" s="30" t="b">
        <v>1</v>
      </c>
      <c r="O28" s="8"/>
    </row>
    <row r="29" spans="1:15" ht="33.75">
      <c r="A29" s="2" t="s">
        <v>245</v>
      </c>
      <c r="B29" s="3">
        <v>1</v>
      </c>
      <c r="C29" s="4" t="s">
        <v>246</v>
      </c>
      <c r="D29" s="5" t="s">
        <v>247</v>
      </c>
      <c r="E29" s="6" t="s">
        <v>248</v>
      </c>
      <c r="F29" s="6" t="s">
        <v>249</v>
      </c>
      <c r="G29" s="6" t="s">
        <v>250</v>
      </c>
      <c r="H29" s="6" t="s">
        <v>20</v>
      </c>
      <c r="I29" s="6" t="s">
        <v>251</v>
      </c>
      <c r="J29" s="7" t="s">
        <v>252</v>
      </c>
      <c r="K29" s="6" t="s">
        <v>253</v>
      </c>
      <c r="L29" s="29" t="s">
        <v>254</v>
      </c>
      <c r="M29" s="30" t="b">
        <v>1</v>
      </c>
      <c r="N29" s="30" t="b">
        <v>1</v>
      </c>
      <c r="O29" s="8"/>
    </row>
    <row r="30" spans="1:15" ht="33.75">
      <c r="A30" s="2" t="s">
        <v>255</v>
      </c>
      <c r="B30" s="3">
        <v>3</v>
      </c>
      <c r="C30" s="4" t="s">
        <v>256</v>
      </c>
      <c r="D30" s="5" t="s">
        <v>257</v>
      </c>
      <c r="E30" s="6" t="s">
        <v>90</v>
      </c>
      <c r="F30" s="6" t="s">
        <v>258</v>
      </c>
      <c r="G30" s="6" t="s">
        <v>259</v>
      </c>
      <c r="H30" s="6" t="s">
        <v>20</v>
      </c>
      <c r="I30" s="6" t="s">
        <v>260</v>
      </c>
      <c r="J30" s="6" t="s">
        <v>261</v>
      </c>
      <c r="K30" s="6" t="s">
        <v>262</v>
      </c>
      <c r="L30" s="29" t="s">
        <v>263</v>
      </c>
      <c r="M30" s="30" t="b">
        <v>1</v>
      </c>
      <c r="N30" s="30" t="b">
        <v>1</v>
      </c>
      <c r="O30" s="8"/>
    </row>
    <row r="31" spans="1:15" ht="33.75">
      <c r="A31" s="2" t="s">
        <v>264</v>
      </c>
      <c r="B31" s="3">
        <v>1</v>
      </c>
      <c r="C31" s="4" t="s">
        <v>256</v>
      </c>
      <c r="D31" s="5" t="s">
        <v>265</v>
      </c>
      <c r="E31" s="6" t="s">
        <v>90</v>
      </c>
      <c r="F31" s="6" t="s">
        <v>266</v>
      </c>
      <c r="G31" s="6" t="s">
        <v>259</v>
      </c>
      <c r="H31" s="6" t="s">
        <v>20</v>
      </c>
      <c r="I31" s="6" t="s">
        <v>267</v>
      </c>
      <c r="J31" s="6" t="s">
        <v>268</v>
      </c>
      <c r="K31" s="6" t="s">
        <v>262</v>
      </c>
      <c r="L31" s="29" t="s">
        <v>269</v>
      </c>
      <c r="M31" s="30" t="b">
        <v>1</v>
      </c>
      <c r="N31" s="30" t="b">
        <v>1</v>
      </c>
      <c r="O31" s="8"/>
    </row>
    <row r="32" spans="1:15" ht="33.75">
      <c r="A32" s="2" t="s">
        <v>270</v>
      </c>
      <c r="B32" s="3">
        <v>1</v>
      </c>
      <c r="C32" s="4" t="s">
        <v>256</v>
      </c>
      <c r="D32" s="5" t="s">
        <v>271</v>
      </c>
      <c r="E32" s="6" t="s">
        <v>90</v>
      </c>
      <c r="F32" s="6" t="s">
        <v>272</v>
      </c>
      <c r="G32" s="6" t="s">
        <v>259</v>
      </c>
      <c r="H32" s="6" t="s">
        <v>20</v>
      </c>
      <c r="I32" s="6" t="s">
        <v>273</v>
      </c>
      <c r="J32" s="7" t="s">
        <v>274</v>
      </c>
      <c r="K32" s="6" t="s">
        <v>262</v>
      </c>
      <c r="L32" s="29" t="s">
        <v>275</v>
      </c>
      <c r="M32" s="30" t="b">
        <v>1</v>
      </c>
      <c r="N32" s="30" t="b">
        <v>1</v>
      </c>
      <c r="O32" s="8"/>
    </row>
    <row r="33" spans="1:15" ht="33.75">
      <c r="A33" s="2" t="s">
        <v>276</v>
      </c>
      <c r="B33" s="3">
        <v>1</v>
      </c>
      <c r="C33" s="4" t="s">
        <v>256</v>
      </c>
      <c r="D33" s="5" t="s">
        <v>277</v>
      </c>
      <c r="E33" s="6" t="s">
        <v>90</v>
      </c>
      <c r="F33" s="6" t="s">
        <v>278</v>
      </c>
      <c r="G33" s="6" t="s">
        <v>259</v>
      </c>
      <c r="H33" s="6" t="s">
        <v>20</v>
      </c>
      <c r="I33" s="6" t="s">
        <v>279</v>
      </c>
      <c r="J33" s="6" t="s">
        <v>280</v>
      </c>
      <c r="K33" s="6" t="s">
        <v>262</v>
      </c>
      <c r="L33" s="29" t="s">
        <v>281</v>
      </c>
      <c r="M33" s="30" t="b">
        <v>1</v>
      </c>
      <c r="N33" s="30" t="b">
        <v>1</v>
      </c>
      <c r="O33" s="8"/>
    </row>
    <row r="34" spans="1:15" ht="33.75">
      <c r="A34" s="2" t="s">
        <v>282</v>
      </c>
      <c r="B34" s="3">
        <v>12</v>
      </c>
      <c r="C34" s="4" t="s">
        <v>256</v>
      </c>
      <c r="D34" s="5" t="s">
        <v>283</v>
      </c>
      <c r="E34" s="6" t="s">
        <v>90</v>
      </c>
      <c r="F34" s="6" t="s">
        <v>284</v>
      </c>
      <c r="G34" s="6" t="s">
        <v>259</v>
      </c>
      <c r="H34" s="6" t="s">
        <v>20</v>
      </c>
      <c r="I34" s="6" t="s">
        <v>285</v>
      </c>
      <c r="J34" s="6" t="s">
        <v>286</v>
      </c>
      <c r="K34" s="6" t="s">
        <v>262</v>
      </c>
      <c r="L34" s="29" t="s">
        <v>287</v>
      </c>
      <c r="M34" s="30" t="b">
        <v>1</v>
      </c>
      <c r="N34" s="30" t="b">
        <v>1</v>
      </c>
      <c r="O34" s="8"/>
    </row>
    <row r="35" spans="1:15" ht="33.75">
      <c r="A35" s="2" t="s">
        <v>288</v>
      </c>
      <c r="B35" s="3">
        <v>2</v>
      </c>
      <c r="C35" s="4" t="s">
        <v>256</v>
      </c>
      <c r="D35" s="28" t="s">
        <v>289</v>
      </c>
      <c r="E35" s="6" t="s">
        <v>90</v>
      </c>
      <c r="F35" s="6" t="s">
        <v>290</v>
      </c>
      <c r="G35" s="6" t="s">
        <v>259</v>
      </c>
      <c r="H35" s="6" t="s">
        <v>20</v>
      </c>
      <c r="I35" s="6" t="s">
        <v>291</v>
      </c>
      <c r="J35" s="7" t="s">
        <v>292</v>
      </c>
      <c r="K35" s="6" t="s">
        <v>262</v>
      </c>
      <c r="L35" s="29" t="s">
        <v>293</v>
      </c>
      <c r="M35" s="30" t="b">
        <v>1</v>
      </c>
      <c r="N35" s="30" t="b">
        <v>1</v>
      </c>
      <c r="O35" s="8"/>
    </row>
    <row r="36" spans="1:15" ht="50.25">
      <c r="A36" s="2" t="s">
        <v>294</v>
      </c>
      <c r="B36" s="3">
        <v>1</v>
      </c>
      <c r="C36" s="4" t="s">
        <v>295</v>
      </c>
      <c r="D36" s="5" t="s">
        <v>296</v>
      </c>
      <c r="E36" s="6" t="s">
        <v>297</v>
      </c>
      <c r="F36" s="6" t="s">
        <v>298</v>
      </c>
      <c r="G36" s="6" t="s">
        <v>299</v>
      </c>
      <c r="H36" s="9" t="s">
        <v>20</v>
      </c>
      <c r="I36" s="6" t="s">
        <v>300</v>
      </c>
      <c r="J36" s="6" t="s">
        <v>301</v>
      </c>
      <c r="K36" s="6" t="s">
        <v>302</v>
      </c>
      <c r="L36" s="29" t="s">
        <v>303</v>
      </c>
      <c r="M36" s="30" t="b">
        <v>1</v>
      </c>
      <c r="N36" s="30" t="b">
        <v>1</v>
      </c>
      <c r="O36" s="8"/>
    </row>
    <row r="37" spans="1:15" ht="33.75">
      <c r="A37" s="2" t="s">
        <v>304</v>
      </c>
      <c r="B37" s="3">
        <v>1</v>
      </c>
      <c r="C37" s="4" t="s">
        <v>305</v>
      </c>
      <c r="D37" s="5" t="s">
        <v>306</v>
      </c>
      <c r="E37" s="6" t="s">
        <v>307</v>
      </c>
      <c r="F37" s="6" t="s">
        <v>308</v>
      </c>
      <c r="G37" s="6" t="s">
        <v>309</v>
      </c>
      <c r="H37" s="6" t="s">
        <v>20</v>
      </c>
      <c r="I37" s="6" t="s">
        <v>310</v>
      </c>
      <c r="J37" s="7" t="s">
        <v>311</v>
      </c>
      <c r="K37" s="6" t="s">
        <v>312</v>
      </c>
      <c r="L37" s="29" t="s">
        <v>313</v>
      </c>
      <c r="M37" s="30" t="b">
        <v>1</v>
      </c>
      <c r="N37" s="30" t="b">
        <v>1</v>
      </c>
      <c r="O37" s="8"/>
    </row>
    <row r="38" spans="1:15" ht="33.75">
      <c r="A38" s="2" t="s">
        <v>314</v>
      </c>
      <c r="B38" s="3">
        <v>1</v>
      </c>
      <c r="C38" s="4" t="s">
        <v>315</v>
      </c>
      <c r="D38" s="5" t="s">
        <v>316</v>
      </c>
      <c r="E38" s="6" t="s">
        <v>317</v>
      </c>
      <c r="F38" s="6" t="s">
        <v>318</v>
      </c>
      <c r="G38" s="6" t="s">
        <v>319</v>
      </c>
      <c r="H38" s="6" t="s">
        <v>20</v>
      </c>
      <c r="I38" s="6" t="s">
        <v>320</v>
      </c>
      <c r="J38" s="7" t="s">
        <v>321</v>
      </c>
      <c r="K38" s="18" t="s">
        <v>322</v>
      </c>
      <c r="L38" s="29" t="s">
        <v>323</v>
      </c>
      <c r="M38" s="30" t="b">
        <v>1</v>
      </c>
      <c r="N38" s="30" t="b">
        <v>1</v>
      </c>
      <c r="O38" s="29"/>
    </row>
    <row r="39" spans="1:15" ht="33.75">
      <c r="A39" s="2" t="s">
        <v>324</v>
      </c>
      <c r="B39" s="3">
        <v>1</v>
      </c>
      <c r="C39" s="49" t="s">
        <v>325</v>
      </c>
      <c r="D39" s="5" t="s">
        <v>326</v>
      </c>
      <c r="E39" s="6" t="s">
        <v>327</v>
      </c>
      <c r="F39" s="6" t="s">
        <v>328</v>
      </c>
      <c r="G39" s="6" t="s">
        <v>329</v>
      </c>
      <c r="H39" s="6" t="s">
        <v>20</v>
      </c>
      <c r="I39" s="6" t="s">
        <v>330</v>
      </c>
      <c r="J39" s="47" t="s">
        <v>331</v>
      </c>
      <c r="K39" s="32" t="s">
        <v>332</v>
      </c>
      <c r="L39" s="29" t="s">
        <v>333</v>
      </c>
      <c r="M39" s="30" t="b">
        <v>1</v>
      </c>
      <c r="N39" s="30" t="b">
        <v>1</v>
      </c>
      <c r="O39" s="29"/>
    </row>
    <row r="40" spans="1:15" ht="84">
      <c r="A40" s="10" t="s">
        <v>334</v>
      </c>
      <c r="B40" s="10">
        <v>1</v>
      </c>
      <c r="C40" s="10" t="s">
        <v>335</v>
      </c>
      <c r="D40" s="10" t="s">
        <v>336</v>
      </c>
      <c r="E40" s="10" t="s">
        <v>337</v>
      </c>
      <c r="F40" s="10" t="s">
        <v>338</v>
      </c>
      <c r="G40" s="10" t="s">
        <v>339</v>
      </c>
      <c r="H40" s="10"/>
      <c r="I40" s="10" t="s">
        <v>340</v>
      </c>
      <c r="J40" s="10"/>
      <c r="K40" s="48"/>
      <c r="L40" s="14"/>
      <c r="M40" s="14"/>
      <c r="N40" s="17"/>
      <c r="O40" s="14"/>
    </row>
    <row r="41" spans="1:15" ht="84">
      <c r="A41" s="10" t="s">
        <v>341</v>
      </c>
      <c r="B41" s="10">
        <v>1</v>
      </c>
      <c r="C41" s="10" t="s">
        <v>335</v>
      </c>
      <c r="D41" s="10" t="s">
        <v>342</v>
      </c>
      <c r="E41" s="10" t="s">
        <v>343</v>
      </c>
      <c r="F41" s="10" t="s">
        <v>344</v>
      </c>
      <c r="G41" s="10" t="s">
        <v>339</v>
      </c>
      <c r="H41" s="10"/>
      <c r="I41" s="10" t="s">
        <v>345</v>
      </c>
      <c r="J41" s="10"/>
      <c r="K41" s="15"/>
      <c r="L41" s="14"/>
      <c r="M41" s="14"/>
      <c r="N41" s="17"/>
      <c r="O41" s="14"/>
    </row>
    <row r="42" spans="1:15" ht="50.25">
      <c r="A42" s="10" t="s">
        <v>346</v>
      </c>
      <c r="B42" s="10">
        <v>1</v>
      </c>
      <c r="C42" s="10" t="s">
        <v>347</v>
      </c>
      <c r="D42" s="10" t="s">
        <v>348</v>
      </c>
      <c r="E42" s="10" t="s">
        <v>349</v>
      </c>
      <c r="F42" s="10" t="s">
        <v>350</v>
      </c>
      <c r="G42" s="10" t="s">
        <v>350</v>
      </c>
      <c r="H42" s="10"/>
      <c r="I42" s="10" t="s">
        <v>351</v>
      </c>
      <c r="J42" s="10"/>
      <c r="K42" s="15"/>
      <c r="L42" s="14"/>
      <c r="M42" s="14"/>
      <c r="N42" s="17"/>
      <c r="O42" s="14"/>
    </row>
    <row r="43" spans="1:15" ht="84">
      <c r="A43" s="10" t="s">
        <v>352</v>
      </c>
      <c r="B43" s="10">
        <v>1</v>
      </c>
      <c r="C43" s="10" t="s">
        <v>335</v>
      </c>
      <c r="D43" s="10" t="s">
        <v>353</v>
      </c>
      <c r="E43" s="10" t="s">
        <v>354</v>
      </c>
      <c r="F43" s="10" t="s">
        <v>355</v>
      </c>
      <c r="G43" s="10" t="s">
        <v>339</v>
      </c>
      <c r="H43" s="10"/>
      <c r="I43" s="10" t="s">
        <v>356</v>
      </c>
      <c r="J43" s="10"/>
      <c r="K43" s="15"/>
      <c r="L43" s="14"/>
      <c r="M43" s="14"/>
      <c r="N43" s="17"/>
      <c r="O43" s="14"/>
    </row>
    <row r="44" spans="1:15" ht="100.5">
      <c r="A44" s="11" t="s">
        <v>357</v>
      </c>
      <c r="B44" s="11">
        <v>1</v>
      </c>
      <c r="C44" s="11" t="s">
        <v>358</v>
      </c>
      <c r="D44" s="11" t="s">
        <v>359</v>
      </c>
      <c r="E44" s="11" t="s">
        <v>360</v>
      </c>
      <c r="F44" s="11" t="s">
        <v>361</v>
      </c>
      <c r="G44" s="11" t="s">
        <v>362</v>
      </c>
      <c r="H44" s="11"/>
      <c r="I44" s="12" t="s">
        <v>363</v>
      </c>
      <c r="J44" s="13"/>
      <c r="K44" s="16"/>
      <c r="L44" s="14"/>
      <c r="M44" s="14"/>
      <c r="N44" s="17"/>
      <c r="O44" s="14"/>
    </row>
    <row r="45" spans="1:15" ht="14.25"/>
    <row r="46" spans="1:15" ht="14.25"/>
  </sheetData>
  <hyperlinks>
    <hyperlink ref="J17" r:id="rId1" xr:uid="{D27B9C75-4805-4FD1-BB34-0878ABEE70B6}"/>
    <hyperlink ref="J10" r:id="rId2" xr:uid="{ADA3A24B-CF1D-4B51-933B-9AC416A8A3EB}"/>
    <hyperlink ref="J11" r:id="rId3" xr:uid="{E55EB2A4-3AC7-4B18-94BD-2693AB7AAA25}"/>
    <hyperlink ref="J2" r:id="rId4" xr:uid="{0CBD9297-F356-46AC-BF9A-6E8235052828}"/>
    <hyperlink ref="J18" r:id="rId5" xr:uid="{85A016AB-9F5D-4F45-AA21-B017AC5491F8}"/>
    <hyperlink ref="J26" r:id="rId6" xr:uid="{75E0EB77-8E6A-417A-8710-7785F0B77420}"/>
    <hyperlink ref="J35" r:id="rId7" xr:uid="{D5BB1833-A786-4B7F-AEE8-D1CC4F7DF604}"/>
    <hyperlink ref="J32" r:id="rId8" xr:uid="{74A77732-3B09-4379-8CC8-56714DD67BD3}"/>
    <hyperlink ref="I44" r:id="rId9" xr:uid="{2588A2E4-5C9A-4BBB-A069-3E452295DAAD}"/>
    <hyperlink ref="J29" r:id="rId10" xr:uid="{2A5AB39A-BE6C-4BD2-A8E1-4FA0D9047407}"/>
    <hyperlink ref="L2" r:id="rId11" xr:uid="{40D25FD9-4D56-4FF0-9941-A4FA5D17B24C}"/>
    <hyperlink ref="L21" r:id="rId12" xr:uid="{81D46319-3AD7-482F-A626-B70E937D2BDF}"/>
    <hyperlink ref="L4" r:id="rId13" xr:uid="{9447D707-11AE-485F-ACFC-8BE93EBA9291}"/>
    <hyperlink ref="L6" r:id="rId14" xr:uid="{0F3A203A-17B7-4B27-AB54-6C1A875AF3FE}"/>
    <hyperlink ref="L9" r:id="rId15" xr:uid="{FEC86E62-4F4A-4C37-AB84-07988E33CE52}"/>
    <hyperlink ref="L23" r:id="rId16" xr:uid="{031C751F-2999-4835-9720-F993FA54F7B1}"/>
    <hyperlink ref="L24" r:id="rId17" xr:uid="{F42E8D25-8CED-4B5D-9F60-82D1DABAA6CE}"/>
    <hyperlink ref="L25" r:id="rId18" xr:uid="{B4E3A7C0-25E5-48D6-A478-095972817CDD}"/>
    <hyperlink ref="L26" r:id="rId19" xr:uid="{104D20AF-45CC-4949-A47D-7A8B8AD91BF1}"/>
    <hyperlink ref="L27" r:id="rId20" xr:uid="{6E3E1215-8B05-41EB-A369-26B9297E69B2}"/>
    <hyperlink ref="L28" r:id="rId21" xr:uid="{E7DFBDE3-8462-4380-9357-583C7E617175}"/>
    <hyperlink ref="L29" r:id="rId22" xr:uid="{B1DE11FD-50EC-432B-85D8-4DE89E7C4230}"/>
    <hyperlink ref="L30" r:id="rId23" xr:uid="{E2003B17-834B-4C97-858E-DCFBE4B3BA80}"/>
    <hyperlink ref="L31" r:id="rId24" xr:uid="{276428B8-BEAD-4D9F-AAB1-0BCCCB46A01A}"/>
    <hyperlink ref="L36" r:id="rId25" xr:uid="{2340D79A-B7CE-4E3E-8A01-8FD03730E6FF}"/>
    <hyperlink ref="L35" r:id="rId26" xr:uid="{4C61D8E7-6FC2-4C60-94D3-53495D6AFD6F}"/>
    <hyperlink ref="L34" r:id="rId27" xr:uid="{DA5C164B-246C-4C68-BC5F-C9759C5DB2F2}"/>
    <hyperlink ref="L33" r:id="rId28" xr:uid="{771433EF-4F87-4BFA-9A85-B35C8DDF46A4}"/>
    <hyperlink ref="J4" r:id="rId29" xr:uid="{CF3D8B59-B49B-4D40-87D4-31E02165ABFE}"/>
    <hyperlink ref="J6" r:id="rId30" xr:uid="{C0D3CCD0-7AF5-492C-B474-00A7B40A01BB}"/>
    <hyperlink ref="J7" r:id="rId31" xr:uid="{EB339EC2-B932-4A76-8A26-87F894BCDF29}"/>
    <hyperlink ref="L8" r:id="rId32" xr:uid="{AE6CC772-A517-484F-BE91-EA2A58B6D96A}"/>
    <hyperlink ref="J9" r:id="rId33" xr:uid="{011BB5C4-DCFF-42F7-8077-465F3EF1C6A0}"/>
    <hyperlink ref="L11" r:id="rId34" xr:uid="{9E22DAEB-16C0-4879-A4C9-9E7FE6D8F16C}"/>
    <hyperlink ref="J12" r:id="rId35" xr:uid="{00675864-5521-4E17-8E41-56B56E99F2E6}"/>
    <hyperlink ref="L12" r:id="rId36" xr:uid="{30232482-BE7F-469A-B8CA-E8E29D3F3C9B}"/>
    <hyperlink ref="J13" r:id="rId37" xr:uid="{8D3DD6B6-6DB4-4937-951B-18EC3C29DC3E}"/>
    <hyperlink ref="L13" r:id="rId38" xr:uid="{39207D0E-3747-471C-A797-6933C10E7985}"/>
    <hyperlink ref="J15" r:id="rId39" xr:uid="{7AD32B6B-C665-4748-A214-35BF4AFF02AE}"/>
    <hyperlink ref="L15" r:id="rId40" xr:uid="{A39C5316-D169-45D3-95A7-A1740AB38688}"/>
    <hyperlink ref="J16" r:id="rId41" xr:uid="{C890253C-52CD-4ABB-8C94-F05E6ED8AA85}"/>
    <hyperlink ref="L16" r:id="rId42" xr:uid="{E44748B3-A344-4E27-9806-43215776E6AF}"/>
    <hyperlink ref="L17" r:id="rId43" xr:uid="{245BE8F4-B76E-4507-B6C4-DE730015B7C1}"/>
    <hyperlink ref="L19" r:id="rId44" xr:uid="{E7CC1794-FE3C-480F-B5B1-81D1060C813B}"/>
    <hyperlink ref="J20" r:id="rId45" xr:uid="{BA614D60-B8A1-4FBF-AF64-9E7D1F901260}"/>
    <hyperlink ref="L20" r:id="rId46" xr:uid="{6947D8D9-CEBA-49EB-BA84-CE76F7ED2D54}"/>
    <hyperlink ref="J21" r:id="rId47" xr:uid="{ADFD43BA-4FC6-4738-B783-83A7382D7852}"/>
    <hyperlink ref="J37" r:id="rId48" xr:uid="{ED38969F-74C6-4725-A90F-F0586066C26D}"/>
    <hyperlink ref="L37" r:id="rId49" xr:uid="{21FA7E84-E0FB-4B25-966A-8AFA6BD052CC}"/>
    <hyperlink ref="J38" r:id="rId50" xr:uid="{B1CAA1F0-7E4D-40B3-A5F5-DD0D37C7F943}"/>
    <hyperlink ref="L38" r:id="rId51" xr:uid="{89D5E28C-E9A4-40E6-A3C1-B76F90B42C44}"/>
    <hyperlink ref="L32" r:id="rId52" xr:uid="{B9CCB5B8-96FF-4B62-B7D4-035F8F06A6D9}"/>
    <hyperlink ref="L5" r:id="rId53" xr:uid="{F8CFBF7D-B7DB-43D0-B508-85FE951148C7}"/>
    <hyperlink ref="L7" r:id="rId54" xr:uid="{6C30BD0D-6137-4404-8E14-C6750AE85D1C}"/>
    <hyperlink ref="L10" r:id="rId55" xr:uid="{E6C1A56E-0415-4AA2-8CAB-E00C5EF00585}"/>
    <hyperlink ref="L18" r:id="rId56" xr:uid="{E1515648-33A6-4E3A-B18D-94A91FD093F1}"/>
    <hyperlink ref="J5" r:id="rId57" xr:uid="{B0465266-ECA9-4149-91D2-4B09AB321F62}"/>
    <hyperlink ref="J8" r:id="rId58" xr:uid="{1DAAB54B-44FD-49DC-A6D9-123A78BC4689}"/>
    <hyperlink ref="J27" r:id="rId59" xr:uid="{CE3CEF6A-0932-4024-92D2-75AD906E9A1D}"/>
    <hyperlink ref="J19" r:id="rId60" xr:uid="{33A8B0A2-6430-4BE8-A0C7-57A0E26BF525}"/>
    <hyperlink ref="J39" r:id="rId61" xr:uid="{34A99CAD-281B-4EAC-874F-9D67687EDDDA}"/>
    <hyperlink ref="L39" r:id="rId62" xr:uid="{088EF8F2-097B-4E50-92B8-279982476087}"/>
    <hyperlink ref="J14" r:id="rId63" xr:uid="{3463E812-369F-42E1-ADD2-0BC7015FF9C2}"/>
    <hyperlink ref="L14" r:id="rId64" xr:uid="{BF93D132-A2B6-4613-ADB8-2D2C51D99B10}"/>
    <hyperlink ref="J23" r:id="rId65" xr:uid="{08973D6C-63F2-47BC-9FE0-41F020A4CECB}"/>
    <hyperlink ref="L22" r:id="rId66" xr:uid="{4B6D23F8-E454-4A47-A511-2EA178E331DF}"/>
    <hyperlink ref="J22" r:id="rId67" xr:uid="{DE140E2C-D3B0-4C2D-B396-5EB17493A6F7}"/>
    <hyperlink ref="L3" r:id="rId68" xr:uid="{9DEFA4B9-FF16-47AD-B102-BBFBE3AB3BAD}"/>
    <hyperlink ref="J3" r:id="rId69" xr:uid="{5F7AB2CF-F199-4A9D-90B3-06034446CB55}"/>
  </hyperlinks>
  <pageMargins left="0.7" right="0.7" top="0.75" bottom="0.75" header="0.3" footer="0.3"/>
  <pageSetup paperSize="26" orientation="landscape" r:id="rId70"/>
  <tableParts count="1">
    <tablePart r:id="rId7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Colby Matthias Cordoba</cp:lastModifiedBy>
  <cp:revision/>
  <dcterms:created xsi:type="dcterms:W3CDTF">2026-05-18T20:41:16Z</dcterms:created>
  <dcterms:modified xsi:type="dcterms:W3CDTF">2026-06-04T17:20:49Z</dcterms:modified>
  <cp:category/>
  <cp:contentStatus/>
</cp:coreProperties>
</file>